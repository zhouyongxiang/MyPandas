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日历视图" sheetId="3" r:id="rId1"/>
    <sheet name="员工休假跟踪表" sheetId="1" r:id="rId2"/>
    <sheet name="员工名单" sheetId="2" r:id="rId3"/>
    <sheet name="休假类型" sheetId="4" r:id="rId4"/>
    <sheet name="公司假期" sheetId="5" r:id="rId5"/>
  </sheets>
  <externalReferences>
    <externalReference r:id="rId6"/>
  </externalReferences>
  <definedNames>
    <definedName name="_xlnm._FilterDatabase" localSheetId="0" hidden="1">'[1]Calendar View'!$H$19:$K$22</definedName>
    <definedName name="Calendar_Year">日历视图!$C$3</definedName>
    <definedName name="ColumnTitle3">员工[[#Headers],[员工姓名]]</definedName>
    <definedName name="ColumnTitle4">休假类型[[#Headers],[休假类型列表]]</definedName>
    <definedName name="ColumnTitle5">公司假期[[#Headers],[公司假期]]</definedName>
    <definedName name="ColumnTitleRegion..AC22.1">日历视图!$C$19:$E$19</definedName>
    <definedName name="lstEDates">LeaveTracker[结束日期]</definedName>
    <definedName name="lstEmployees">员工[员工姓名]</definedName>
    <definedName name="lstEmpNames">LeaveTracker[员工姓名]</definedName>
    <definedName name="lstHolidays">公司假期[公司假期]</definedName>
    <definedName name="lstHolidayTypes">休假类型[休假类型列表]</definedName>
    <definedName name="lstHTypes">LeaveTracker[休假类型]</definedName>
    <definedName name="lstSdates">LeaveTracker[开始日期]</definedName>
    <definedName name="Title1">AttendanceRecord[[#Headers],[星期几/月]]</definedName>
    <definedName name="Title2">LeaveTracker[[#Headers],[员工姓名]]</definedName>
    <definedName name="valSelEmployee">日历视图!$C$2</definedName>
    <definedName name="不">员工休假跟踪表!$E$740</definedName>
  </definedNames>
  <calcPr calcId="144525"/>
</workbook>
</file>

<file path=xl/sharedStrings.xml><?xml version="1.0" encoding="utf-8"?>
<sst xmlns="http://schemas.openxmlformats.org/spreadsheetml/2006/main" count="141" uniqueCount="90">
  <si>
    <t>员工考勤记录</t>
  </si>
  <si>
    <t>选择员工：</t>
  </si>
  <si>
    <t>员工 5</t>
  </si>
  <si>
    <t xml:space="preserve"> </t>
  </si>
  <si>
    <t>输入年份：</t>
  </si>
  <si>
    <t>星期几/月</t>
  </si>
  <si>
    <t>日</t>
  </si>
  <si>
    <t>一</t>
  </si>
  <si>
    <t>二</t>
  </si>
  <si>
    <t>三</t>
  </si>
  <si>
    <t>四</t>
  </si>
  <si>
    <t>五</t>
  </si>
  <si>
    <t>六</t>
  </si>
  <si>
    <t xml:space="preserve">日   </t>
  </si>
  <si>
    <t xml:space="preserve">一   </t>
  </si>
  <si>
    <t xml:space="preserve">二   </t>
  </si>
  <si>
    <t xml:space="preserve">三   </t>
  </si>
  <si>
    <t xml:space="preserve">四   </t>
  </si>
  <si>
    <t xml:space="preserve">五   </t>
  </si>
  <si>
    <t xml:space="preserve">六   </t>
  </si>
  <si>
    <t xml:space="preserve">日    </t>
  </si>
  <si>
    <t xml:space="preserve">一    </t>
  </si>
  <si>
    <t xml:space="preserve">二    </t>
  </si>
  <si>
    <t xml:space="preserve">三    </t>
  </si>
  <si>
    <t xml:space="preserve">四    </t>
  </si>
  <si>
    <t xml:space="preserve">五    </t>
  </si>
  <si>
    <t xml:space="preserve">六    </t>
  </si>
  <si>
    <t xml:space="preserve">日     </t>
  </si>
  <si>
    <t xml:space="preserve">一     </t>
  </si>
  <si>
    <t xml:space="preserve">二     </t>
  </si>
  <si>
    <t xml:space="preserve">三     </t>
  </si>
  <si>
    <t xml:space="preserve">四  </t>
  </si>
  <si>
    <t xml:space="preserve">五     </t>
  </si>
  <si>
    <t xml:space="preserve">六     </t>
  </si>
  <si>
    <t xml:space="preserve">日 </t>
  </si>
  <si>
    <t xml:space="preserve">一 </t>
  </si>
  <si>
    <t xml:space="preserve">二 </t>
  </si>
  <si>
    <t xml:space="preserve">三 </t>
  </si>
  <si>
    <t xml:space="preserve">四 </t>
  </si>
  <si>
    <t xml:space="preserve">五 </t>
  </si>
  <si>
    <t xml:space="preserve">六 </t>
  </si>
  <si>
    <t xml:space="preserve">日  </t>
  </si>
  <si>
    <t xml:space="preserve">一  </t>
  </si>
  <si>
    <t xml:space="preserve">二  </t>
  </si>
  <si>
    <t xml:space="preserve">三  </t>
  </si>
  <si>
    <t xml:space="preserve">四        </t>
  </si>
  <si>
    <t xml:space="preserve">五  </t>
  </si>
  <si>
    <t xml:space="preserve">六  </t>
  </si>
  <si>
    <t>1 月</t>
  </si>
  <si>
    <t>2 月</t>
  </si>
  <si>
    <t>3 月</t>
  </si>
  <si>
    <t>4 月</t>
  </si>
  <si>
    <t>5 月</t>
  </si>
  <si>
    <t>6 月</t>
  </si>
  <si>
    <t>7 月</t>
  </si>
  <si>
    <t>8 月</t>
  </si>
  <si>
    <t>9 月</t>
  </si>
  <si>
    <t>10 月</t>
  </si>
  <si>
    <t>11 月</t>
  </si>
  <si>
    <t>12 月</t>
  </si>
  <si>
    <t>主要统计信息</t>
  </si>
  <si>
    <t>休假天数</t>
  </si>
  <si>
    <t>工作天数</t>
  </si>
  <si>
    <t>病假天数</t>
  </si>
  <si>
    <t>假期</t>
  </si>
  <si>
    <t>丧假</t>
  </si>
  <si>
    <t>其他</t>
  </si>
  <si>
    <t>员工休假跟踪表</t>
  </si>
  <si>
    <t>员工姓名</t>
  </si>
  <si>
    <t>开始日期</t>
  </si>
  <si>
    <t>结束日期</t>
  </si>
  <si>
    <t>休假类型</t>
  </si>
  <si>
    <t>天数</t>
  </si>
  <si>
    <r>
      <rPr>
        <sz val="11"/>
        <color theme="1"/>
        <rFont val="Trebuchet MS"/>
        <charset val="134"/>
        <scheme val="minor"/>
      </rPr>
      <t>员工</t>
    </r>
    <r>
      <rPr>
        <sz val="11"/>
        <color theme="1"/>
        <rFont val="Microsoft YaHei UI"/>
        <charset val="134"/>
      </rPr>
      <t xml:space="preserve"> 1</t>
    </r>
  </si>
  <si>
    <r>
      <rPr>
        <sz val="11"/>
        <color theme="1"/>
        <rFont val="Trebuchet MS"/>
        <charset val="134"/>
        <scheme val="minor"/>
      </rPr>
      <t>病假</t>
    </r>
  </si>
  <si>
    <r>
      <rPr>
        <sz val="11"/>
        <color theme="1"/>
        <rFont val="Trebuchet MS"/>
        <charset val="134"/>
        <scheme val="minor"/>
      </rPr>
      <t>员工</t>
    </r>
    <r>
      <rPr>
        <sz val="11"/>
        <color theme="1"/>
        <rFont val="Microsoft YaHei UI"/>
        <charset val="134"/>
      </rPr>
      <t xml:space="preserve"> 2</t>
    </r>
  </si>
  <si>
    <r>
      <rPr>
        <sz val="11"/>
        <color theme="1"/>
        <rFont val="Trebuchet MS"/>
        <charset val="134"/>
        <scheme val="minor"/>
      </rPr>
      <t>其他</t>
    </r>
  </si>
  <si>
    <r>
      <rPr>
        <sz val="11"/>
        <color theme="1"/>
        <rFont val="Trebuchet MS"/>
        <charset val="134"/>
        <scheme val="minor"/>
      </rPr>
      <t>员工</t>
    </r>
    <r>
      <rPr>
        <sz val="11"/>
        <color theme="1"/>
        <rFont val="Microsoft YaHei UI"/>
        <charset val="134"/>
      </rPr>
      <t xml:space="preserve"> 3</t>
    </r>
  </si>
  <si>
    <r>
      <rPr>
        <sz val="11"/>
        <color theme="1"/>
        <rFont val="Trebuchet MS"/>
        <charset val="134"/>
        <scheme val="minor"/>
      </rPr>
      <t>员工</t>
    </r>
    <r>
      <rPr>
        <sz val="11"/>
        <color theme="1"/>
        <rFont val="Microsoft YaHei UI"/>
        <charset val="134"/>
      </rPr>
      <t xml:space="preserve"> 5</t>
    </r>
  </si>
  <si>
    <r>
      <rPr>
        <sz val="11"/>
        <color theme="1"/>
        <rFont val="Trebuchet MS"/>
        <charset val="134"/>
        <scheme val="minor"/>
      </rPr>
      <t>丧假</t>
    </r>
  </si>
  <si>
    <r>
      <rPr>
        <sz val="11"/>
        <color theme="1"/>
        <rFont val="Trebuchet MS"/>
        <charset val="134"/>
        <scheme val="minor"/>
      </rPr>
      <t>员工</t>
    </r>
    <r>
      <rPr>
        <sz val="11"/>
        <color theme="1"/>
        <rFont val="Microsoft YaHei UI"/>
        <charset val="134"/>
      </rPr>
      <t xml:space="preserve"> 4</t>
    </r>
  </si>
  <si>
    <r>
      <rPr>
        <sz val="11"/>
        <color theme="1"/>
        <rFont val="Trebuchet MS"/>
        <charset val="134"/>
        <scheme val="minor"/>
      </rPr>
      <t>假期</t>
    </r>
  </si>
  <si>
    <t>员工名单</t>
  </si>
  <si>
    <t>休假类型列表</t>
  </si>
  <si>
    <t>公司假期</t>
  </si>
  <si>
    <t>说明</t>
  </si>
  <si>
    <r>
      <rPr>
        <sz val="11"/>
        <color theme="1"/>
        <rFont val="Trebuchet MS"/>
        <charset val="134"/>
        <scheme val="minor"/>
      </rPr>
      <t>元旦</t>
    </r>
  </si>
  <si>
    <r>
      <rPr>
        <sz val="11"/>
        <color theme="1"/>
        <rFont val="Trebuchet MS"/>
        <charset val="134"/>
        <scheme val="minor"/>
      </rPr>
      <t>独立日</t>
    </r>
  </si>
  <si>
    <r>
      <rPr>
        <sz val="11"/>
        <color theme="1"/>
        <rFont val="Trebuchet MS"/>
        <charset val="134"/>
        <scheme val="minor"/>
      </rPr>
      <t>感恩节</t>
    </r>
  </si>
  <si>
    <r>
      <rPr>
        <sz val="11"/>
        <color theme="1"/>
        <rFont val="Trebuchet MS"/>
        <charset val="134"/>
        <scheme val="minor"/>
      </rPr>
      <t>圣诞节</t>
    </r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</si>
</sst>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3" formatCode="_ * #,##0.00_ ;_ * \-#,##0.00_ ;_ * &quot;-&quot;??_ ;_ @_ "/>
    <numFmt numFmtId="176" formatCode="d"/>
    <numFmt numFmtId="177" formatCode="_ \¥* #,##0.00_ ;_ \¥* \-#,##0.00_ ;_ \¥* &quot;-&quot;??_ ;_ @_ "/>
    <numFmt numFmtId="178" formatCode="_ \¥* #,##0_ ;_ \¥* \-#,##0_ ;_ \¥* &quot;-&quot;_ ;_ @_ "/>
    <numFmt numFmtId="179" formatCode="&quot;LAST YEAR &quot;\ General"/>
    <numFmt numFmtId="180" formatCode="0_ "/>
    <numFmt numFmtId="181" formatCode="&quot;去年 &quot;\ General\ &quot; 天&quot;"/>
  </numFmts>
  <fonts count="26">
    <font>
      <sz val="11"/>
      <color theme="1"/>
      <name val="Microsoft YaHei UI"/>
      <charset val="134"/>
    </font>
    <font>
      <b/>
      <sz val="26"/>
      <color theme="3"/>
      <name val="宋体"/>
      <charset val="134"/>
    </font>
    <font>
      <sz val="11"/>
      <color theme="1"/>
      <name val="宋体"/>
      <charset val="134"/>
    </font>
    <font>
      <sz val="11"/>
      <color theme="3"/>
      <name val="宋体"/>
      <charset val="134"/>
    </font>
    <font>
      <sz val="12"/>
      <color theme="0"/>
      <name val="Microsoft YaHei UI"/>
      <charset val="134"/>
    </font>
    <font>
      <b/>
      <sz val="26"/>
      <color theme="3"/>
      <name val="Microsoft YaHei UI"/>
      <charset val="134"/>
    </font>
    <font>
      <b/>
      <sz val="23"/>
      <color theme="3"/>
      <name val="Microsoft YaHei UI"/>
      <charset val="134"/>
    </font>
    <font>
      <sz val="11"/>
      <color theme="0"/>
      <name val="Microsoft YaHei UI"/>
      <charset val="134"/>
    </font>
    <font>
      <sz val="11"/>
      <color theme="3"/>
      <name val="Microsoft YaHei UI"/>
      <charset val="134"/>
    </font>
    <font>
      <b/>
      <sz val="30"/>
      <color theme="0"/>
      <name val="Microsoft YaHei UI"/>
      <charset val="134"/>
    </font>
    <font>
      <sz val="11"/>
      <color theme="3" tint="-0.499984740745262"/>
      <name val="Microsoft YaHei UI"/>
      <charset val="134"/>
    </font>
    <font>
      <sz val="9"/>
      <color theme="1"/>
      <name val="Microsoft YaHei UI"/>
      <charset val="134"/>
    </font>
    <font>
      <b/>
      <sz val="11"/>
      <color theme="9" tint="-0.499984740745262"/>
      <name val="Microsoft YaHei UI"/>
      <charset val="134"/>
    </font>
    <font>
      <sz val="9"/>
      <color theme="3"/>
      <name val="Microsoft YaHei UI"/>
      <charset val="134"/>
    </font>
    <font>
      <b/>
      <sz val="30"/>
      <color theme="3"/>
      <name val="Microsoft YaHei UI"/>
      <charset val="134"/>
    </font>
    <font>
      <b/>
      <sz val="11"/>
      <color rgb="FF3F3F3F"/>
      <name val="Microsoft YaHei UI"/>
      <charset val="134"/>
    </font>
    <font>
      <sz val="11"/>
      <color rgb="FF9C0006"/>
      <name val="Microsoft YaHei UI"/>
      <charset val="134"/>
    </font>
    <font>
      <b/>
      <sz val="11"/>
      <color theme="0"/>
      <name val="Microsoft YaHei UI"/>
      <charset val="134"/>
    </font>
    <font>
      <b/>
      <sz val="11"/>
      <color rgb="FFFA7D00"/>
      <name val="Microsoft YaHei UI"/>
      <charset val="134"/>
    </font>
    <font>
      <sz val="11"/>
      <color rgb="FFFF0000"/>
      <name val="Microsoft YaHei UI"/>
      <charset val="134"/>
    </font>
    <font>
      <sz val="11"/>
      <color rgb="FF3F3F76"/>
      <name val="Microsoft YaHei UI"/>
      <charset val="134"/>
    </font>
    <font>
      <i/>
      <sz val="11"/>
      <color rgb="FF7F7F7F"/>
      <name val="Microsoft YaHei UI"/>
      <charset val="134"/>
    </font>
    <font>
      <sz val="11"/>
      <color rgb="FF9C6500"/>
      <name val="Microsoft YaHei UI"/>
      <charset val="134"/>
    </font>
    <font>
      <sz val="11"/>
      <color rgb="FF006100"/>
      <name val="Microsoft YaHei UI"/>
      <charset val="134"/>
    </font>
    <font>
      <b/>
      <sz val="11"/>
      <color theme="1"/>
      <name val="Microsoft YaHei UI"/>
      <charset val="134"/>
    </font>
    <font>
      <sz val="11"/>
      <color theme="1"/>
      <name val="Trebuchet MS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-0.24994659260841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3" tint="0.399945066682943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>
      <alignment vertical="center"/>
    </xf>
    <xf numFmtId="178" fontId="0" fillId="0" borderId="0" applyFill="0" applyBorder="0" applyAlignment="0" applyProtection="0">
      <alignment vertical="center"/>
    </xf>
    <xf numFmtId="0" fontId="0" fillId="10" borderId="0" applyNumberFormat="0" applyBorder="0" applyAlignment="0" applyProtection="0">
      <alignment vertical="center"/>
    </xf>
    <xf numFmtId="0" fontId="20" fillId="24" borderId="5" applyNumberFormat="0" applyAlignment="0" applyProtection="0">
      <alignment vertical="center"/>
    </xf>
    <xf numFmtId="177" fontId="0" fillId="0" borderId="0" applyFill="0" applyBorder="0" applyAlignment="0" applyProtection="0">
      <alignment vertical="center"/>
    </xf>
    <xf numFmtId="41" fontId="0" fillId="0" borderId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43" fontId="0" fillId="0" borderId="0" applyFill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1" borderId="0" applyProtection="0">
      <alignment horizontal="center" vertical="center"/>
    </xf>
    <xf numFmtId="9" fontId="0" fillId="0" borderId="0" applyFill="0" applyBorder="0" applyAlignment="0" applyProtection="0">
      <alignment vertical="center"/>
    </xf>
    <xf numFmtId="0" fontId="7" fillId="21" borderId="0" applyNumberFormat="0" applyBorder="0" applyProtection="0">
      <alignment horizontal="center" vertical="center"/>
    </xf>
    <xf numFmtId="0" fontId="0" fillId="16" borderId="6" applyNumberFormat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2" fillId="0" borderId="0" applyFill="0" applyProtection="0">
      <alignment horizontal="center"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 applyNumberFormat="0" applyFill="0" applyBorder="0" applyProtection="0">
      <alignment horizontal="left" vertical="center"/>
    </xf>
    <xf numFmtId="0" fontId="4" fillId="2" borderId="1">
      <alignment horizontal="left" vertical="center" wrapText="1" indent="1"/>
    </xf>
    <xf numFmtId="0" fontId="21" fillId="0" borderId="0" applyNumberFormat="0" applyFill="0" applyBorder="0" applyAlignment="0" applyProtection="0">
      <alignment vertical="center"/>
    </xf>
    <xf numFmtId="0" fontId="3" fillId="0" borderId="0" applyFill="0" applyProtection="0">
      <alignment horizontal="right" indent="1"/>
    </xf>
    <xf numFmtId="0" fontId="3" fillId="0" borderId="0" applyFill="0" applyProtection="0">
      <alignment horizontal="center" vertical="center"/>
    </xf>
    <xf numFmtId="0" fontId="7" fillId="20" borderId="0" applyNumberFormat="0" applyBorder="0" applyAlignment="0" applyProtection="0">
      <alignment vertical="center"/>
    </xf>
    <xf numFmtId="179" fontId="10" fillId="0" borderId="0" applyFill="0" applyProtection="0">
      <alignment horizontal="center" vertical="center"/>
    </xf>
    <xf numFmtId="0" fontId="7" fillId="12" borderId="0" applyNumberFormat="0" applyBorder="0" applyAlignment="0" applyProtection="0">
      <alignment vertical="center"/>
    </xf>
    <xf numFmtId="0" fontId="15" fillId="8" borderId="3" applyNumberFormat="0" applyAlignment="0" applyProtection="0">
      <alignment vertical="center"/>
    </xf>
    <xf numFmtId="0" fontId="0" fillId="0" borderId="0">
      <alignment horizontal="left" vertical="center" wrapText="1" indent="1"/>
    </xf>
    <xf numFmtId="14" fontId="0" fillId="0" borderId="0">
      <alignment horizontal="left" vertical="center" indent="1"/>
    </xf>
    <xf numFmtId="0" fontId="18" fillId="8" borderId="5" applyNumberFormat="0" applyAlignment="0" applyProtection="0">
      <alignment vertical="center"/>
    </xf>
    <xf numFmtId="0" fontId="17" fillId="15" borderId="4" applyNumberFormat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2" borderId="7">
      <alignment horizontal="center"/>
    </xf>
    <xf numFmtId="0" fontId="8" fillId="0" borderId="2" applyNumberFormat="0" applyFill="0" applyAlignment="0">
      <alignment horizontal="center" vertical="center"/>
    </xf>
    <xf numFmtId="0" fontId="24" fillId="0" borderId="8" applyNumberFormat="0" applyFill="0" applyAlignment="0" applyProtection="0">
      <alignment vertical="center"/>
    </xf>
    <xf numFmtId="176" fontId="0" fillId="0" borderId="0" applyFill="0" applyBorder="0">
      <alignment horizontal="center" vertical="center"/>
    </xf>
    <xf numFmtId="0" fontId="23" fillId="34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7" fillId="3" borderId="0" applyNumberFormat="0" applyBorder="0" applyAlignment="0" applyProtection="0"/>
    <xf numFmtId="0" fontId="0" fillId="26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33" borderId="0" applyNumberFormat="0" applyBorder="0" applyAlignment="0" applyProtection="0">
      <alignment vertical="center"/>
    </xf>
    <xf numFmtId="0" fontId="3" fillId="0" borderId="0">
      <alignment horizontal="left" vertical="center" indent="2"/>
    </xf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0" fillId="28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7" fillId="4" borderId="0" applyNumberFormat="0" applyBorder="0" applyAlignment="0" applyProtection="0"/>
    <xf numFmtId="0" fontId="0" fillId="18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9" fillId="2" borderId="0">
      <alignment horizontal="center" vertical="center"/>
    </xf>
    <xf numFmtId="0" fontId="4" fillId="2" borderId="1">
      <alignment horizontal="left" vertical="center" indent="1"/>
    </xf>
    <xf numFmtId="0" fontId="2" fillId="0" borderId="0">
      <alignment horizontal="left" vertical="center" indent="1"/>
    </xf>
    <xf numFmtId="180" fontId="0" fillId="0" borderId="0">
      <alignment horizontal="center" vertical="center"/>
    </xf>
  </cellStyleXfs>
  <cellXfs count="36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0" borderId="0" xfId="17" applyFont="1">
      <alignment horizontal="left" vertical="center"/>
    </xf>
    <xf numFmtId="0" fontId="2" fillId="0" borderId="0" xfId="57" applyFont="1">
      <alignment horizontal="left" vertical="center" indent="1"/>
    </xf>
    <xf numFmtId="14" fontId="0" fillId="0" borderId="0" xfId="27">
      <alignment horizontal="left" vertical="center" indent="1"/>
    </xf>
    <xf numFmtId="0" fontId="0" fillId="0" borderId="0" xfId="26">
      <alignment horizontal="left" vertical="center" wrapText="1" indent="1"/>
    </xf>
    <xf numFmtId="180" fontId="0" fillId="0" borderId="0" xfId="58">
      <alignment horizontal="center" vertical="center"/>
    </xf>
    <xf numFmtId="0" fontId="1" fillId="0" borderId="0" xfId="17" applyFont="1" applyBorder="1">
      <alignment horizontal="left" vertical="center"/>
    </xf>
    <xf numFmtId="0" fontId="3" fillId="0" borderId="0" xfId="20" applyFont="1">
      <alignment horizontal="right" indent="1"/>
    </xf>
    <xf numFmtId="0" fontId="4" fillId="2" borderId="1" xfId="18" applyFont="1">
      <alignment horizontal="left" vertical="center" wrapText="1" indent="1"/>
    </xf>
    <xf numFmtId="0" fontId="4" fillId="2" borderId="1" xfId="56" applyFont="1">
      <alignment horizontal="left" vertical="center" indent="1"/>
    </xf>
    <xf numFmtId="0" fontId="5" fillId="0" borderId="0" xfId="17" applyFont="1" applyBorder="1" applyAlignment="1">
      <alignment horizontal="left" vertical="center" wrapText="1" indent="1"/>
    </xf>
    <xf numFmtId="0" fontId="3" fillId="0" borderId="0" xfId="44" applyFont="1">
      <alignment horizontal="left" vertical="center" indent="2"/>
    </xf>
    <xf numFmtId="176" fontId="0" fillId="0" borderId="0" xfId="35" applyFont="1" applyFill="1" applyBorder="1">
      <alignment horizontal="center" vertical="center"/>
    </xf>
    <xf numFmtId="0" fontId="1" fillId="0" borderId="0" xfId="17" applyFont="1" applyFill="1" applyBorder="1">
      <alignment horizontal="left" vertical="center"/>
    </xf>
    <xf numFmtId="0" fontId="6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21" applyFont="1">
      <alignment horizontal="center" vertical="center"/>
    </xf>
    <xf numFmtId="0" fontId="8" fillId="0" borderId="2" xfId="33" applyFont="1">
      <alignment horizontal="center" vertical="center"/>
    </xf>
    <xf numFmtId="0" fontId="0" fillId="0" borderId="0" xfId="0" applyFont="1" applyBorder="1" applyAlignment="1">
      <alignment vertical="center"/>
    </xf>
    <xf numFmtId="0" fontId="3" fillId="0" borderId="0" xfId="21" applyFont="1" applyAlignment="1">
      <alignment horizontal="center" vertical="center"/>
    </xf>
    <xf numFmtId="0" fontId="9" fillId="2" borderId="0" xfId="55" applyFont="1">
      <alignment horizontal="center" vertical="center"/>
    </xf>
    <xf numFmtId="181" fontId="10" fillId="0" borderId="0" xfId="23" applyNumberFormat="1" applyFont="1">
      <alignment horizontal="center" vertical="center"/>
    </xf>
    <xf numFmtId="0" fontId="11" fillId="0" borderId="0" xfId="0" applyFont="1">
      <alignment vertical="center"/>
    </xf>
    <xf numFmtId="0" fontId="12" fillId="0" borderId="0" xfId="15" applyFont="1" applyFill="1">
      <alignment horizontal="center" vertical="center"/>
    </xf>
    <xf numFmtId="0" fontId="12" fillId="0" borderId="0" xfId="15" applyFont="1">
      <alignment horizontal="center" vertical="center"/>
    </xf>
    <xf numFmtId="0" fontId="8" fillId="0" borderId="0" xfId="0" applyFont="1" applyBorder="1" applyAlignment="1">
      <alignment horizontal="right" vertical="center" indent="1"/>
    </xf>
    <xf numFmtId="0" fontId="13" fillId="0" borderId="0" xfId="0" applyFont="1" applyFill="1" applyBorder="1" applyAlignment="1">
      <alignment horizontal="left" vertical="center"/>
    </xf>
    <xf numFmtId="0" fontId="14" fillId="3" borderId="0" xfId="39" applyFont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4" fillId="4" borderId="0" xfId="49" applyFont="1" applyBorder="1" applyAlignment="1">
      <alignment horizontal="center" vertical="center"/>
    </xf>
    <xf numFmtId="0" fontId="14" fillId="5" borderId="0" xfId="45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8" fillId="0" borderId="0" xfId="21" applyFont="1">
      <alignment horizontal="center" vertical="center"/>
    </xf>
    <xf numFmtId="0" fontId="14" fillId="6" borderId="0" xfId="46" applyFont="1" applyBorder="1" applyAlignment="1">
      <alignment horizontal="center" vertical="center"/>
    </xf>
    <xf numFmtId="179" fontId="10" fillId="0" borderId="0" xfId="23" applyFont="1">
      <alignment horizontal="center" vertical="center"/>
    </xf>
  </cellXfs>
  <cellStyles count="5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所选内容" xfId="18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表格详细信息" xfId="26"/>
    <cellStyle name="表格日期" xfId="27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右边框" xfId="33"/>
    <cellStyle name="汇总" xfId="34" builtinId="25"/>
    <cellStyle name="天数" xfId="35"/>
    <cellStyle name="好" xfId="36" builtinId="26"/>
    <cellStyle name="适中" xfId="37" builtinId="28"/>
    <cellStyle name="20% - 强调文字颜色 5" xfId="38" builtinId="46"/>
    <cellStyle name="强调文字颜色 1" xfId="39" builtinId="29"/>
    <cellStyle name="20% - 强调文字颜色 1" xfId="40" builtinId="30"/>
    <cellStyle name="40% - 强调文字颜色 1" xfId="41" builtinId="31"/>
    <cellStyle name="20% - 强调文字颜色 2" xfId="42" builtinId="34"/>
    <cellStyle name="40% - 强调文字颜色 2" xfId="43" builtinId="35"/>
    <cellStyle name="月" xfId="44"/>
    <cellStyle name="强调文字颜色 3" xfId="45" builtinId="37"/>
    <cellStyle name="强调文字颜色 4" xfId="46" builtinId="41"/>
    <cellStyle name="20% - 强调文字颜色 4" xfId="47" builtinId="42"/>
    <cellStyle name="40% - 强调文字颜色 4" xfId="48" builtinId="43"/>
    <cellStyle name="强调文字颜色 5" xfId="49" builtinId="45"/>
    <cellStyle name="40% - 强调文字颜色 5" xfId="50" builtinId="47"/>
    <cellStyle name="60% - 强调文字颜色 5" xfId="51" builtinId="48"/>
    <cellStyle name="强调文字颜色 6" xfId="52" builtinId="49"/>
    <cellStyle name="40% - 强调文字颜色 6" xfId="53" builtinId="51"/>
    <cellStyle name="60% - 强调文字颜色 6" xfId="54" builtinId="52"/>
    <cellStyle name="Days_On_Leave" xfId="55"/>
    <cellStyle name="Year_entry" xfId="56"/>
    <cellStyle name="表格标题" xfId="57"/>
    <cellStyle name="表格天数" xfId="58"/>
  </cellStyles>
  <dxfs count="77">
    <dxf>
      <font>
        <name val="宋体"/>
        <scheme val="none"/>
        <charset val="134"/>
        <strike val="0"/>
        <u val="none"/>
        <sz val="11"/>
        <color theme="3"/>
      </font>
    </dxf>
    <dxf>
      <font>
        <name val="Microsoft YaHei UI"/>
        <scheme val="none"/>
        <charset val="134"/>
        <family val="2"/>
        <strike val="0"/>
        <u val="none"/>
      </font>
      <numFmt numFmtId="176" formatCode="d"/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name val="Microsoft YaHei UI"/>
        <scheme val="none"/>
        <charset val="134"/>
        <family val="2"/>
        <strike val="0"/>
        <u val="none"/>
      </font>
    </dxf>
    <dxf>
      <font>
        <b val="1"/>
        <i val="0"/>
        <color rgb="FF0070C0"/>
      </font>
    </dxf>
    <dxf>
      <font>
        <color theme="0" tint="-0.14996795556505"/>
      </font>
      <numFmt numFmtId="182" formatCode="[$-804]dddd\,\ mmmm\ d\,\ yyyy"/>
    </dxf>
    <dxf>
      <font>
        <color theme="2" tint="-0.249946592608417"/>
      </font>
    </dxf>
    <dxf>
      <font>
        <color theme="3" tint="-0.249946592608417"/>
      </font>
      <fill>
        <patternFill patternType="solid">
          <bgColor theme="4"/>
        </patternFill>
      </fill>
    </dxf>
    <dxf>
      <fill>
        <patternFill patternType="solid">
          <bgColor theme="8"/>
        </patternFill>
      </fill>
    </dxf>
    <dxf>
      <fill>
        <patternFill patternType="solid">
          <bgColor theme="6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ont>
        <b val="0"/>
        <i val="0"/>
      </font>
    </dxf>
    <dxf>
      <fill>
        <patternFill patternType="solid">
          <bgColor theme="2"/>
        </patternFill>
      </fill>
    </dxf>
    <dxf>
      <font>
        <b val="1"/>
        <i val="0"/>
      </font>
    </dxf>
    <dxf>
      <font>
        <color theme="0"/>
      </font>
      <fill>
        <patternFill patternType="solid"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>
        <left style="thin">
          <color theme="0" tint="-0.249946592608417"/>
        </left>
        <right style="thin">
          <color theme="0" tint="-0.249946592608417"/>
        </right>
        <top style="thin">
          <color theme="0" tint="-0.249946592608417"/>
        </top>
        <bottom style="thick">
          <color theme="3"/>
        </bottom>
        <vertical style="thin">
          <color theme="3" tint="0.399945066682943"/>
        </vertical>
        <horizontal/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 val="1"/>
        <color theme="1"/>
      </font>
    </dxf>
    <dxf>
      <font>
        <b val="1"/>
        <color theme="1" tint="0.499984740745262"/>
      </font>
    </dxf>
    <dxf>
      <font>
        <b val="1"/>
        <color theme="1"/>
      </font>
    </dxf>
    <dxf>
      <font>
        <b val="1"/>
        <color theme="1" tint="0.499984740745262"/>
      </font>
    </dxf>
    <dxf>
      <font>
        <b val="1"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6"/>
        </left>
        <right style="thin">
          <color theme="0" tint="-0.349986266670736"/>
        </right>
        <top style="thin">
          <color theme="0" tint="-0.349986266670736"/>
        </top>
      </border>
    </dxf>
    <dxf>
      <fill>
        <patternFill patternType="solid">
          <fgColor theme="0" tint="-0.14996795556505"/>
          <bgColor theme="0" tint="-0.0499893185216834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6"/>
        </vertical>
      </border>
    </dxf>
    <dxf>
      <fill>
        <patternFill patternType="solid">
          <fgColor theme="0" tint="-0.14996795556505"/>
          <bgColor theme="0" tint="-0.0499893185216834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/>
      </fill>
      <border>
        <left style="thin">
          <color theme="0" tint="-0.14996795556505"/>
        </left>
        <right style="thin">
          <color theme="0" tint="-0.14996795556505"/>
        </right>
        <vertical style="thin">
          <color theme="1" tint="0.349986266670736"/>
        </vertical>
      </border>
    </dxf>
  </dxfs>
  <tableStyles count="2" defaultTableStyle="考勤记录表样式">
    <tableStyle name="考勤记录表样式" pivot="0" count="5">
      <tableStyleElement type="wholeTable" dxfId="63"/>
      <tableStyleElement type="headerRow" dxfId="62"/>
      <tableStyleElement type="firstColumn" dxfId="61"/>
      <tableStyleElement type="firstRowStripe" dxfId="60"/>
      <tableStyleElement type="firstHeaderCell" dxfId="59"/>
    </tableStyle>
    <tableStyle name="休假报表" table="0" count="13">
      <tableStyleElement type="wholeTable" dxfId="76"/>
      <tableStyleElement type="headerRow" dxfId="75"/>
      <tableStyleElement type="totalRow" dxfId="74"/>
      <tableStyleElement type="firstRowStripe" dxfId="73"/>
      <tableStyleElement type="firstColumnStripe" dxfId="72"/>
      <tableStyleElement type="firstSubtotalColumn" dxfId="71"/>
      <tableStyleElement type="firstSubtotalRow" dxfId="70"/>
      <tableStyleElement type="secondSubtotalRow" dxfId="69"/>
      <tableStyleElement type="firstRowSubheading" dxfId="68"/>
      <tableStyleElement type="secondRowSubheading" dxfId="67"/>
      <tableStyleElement type="thirdRowSubheading" dxfId="66"/>
      <tableStyleElement type="pageFieldLabels" dxfId="65"/>
      <tableStyleElement type="pageFieldValues" dxfId="6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142875</xdr:rowOff>
        </xdr:from>
        <xdr:to>
          <xdr:col>17</xdr:col>
          <xdr:colOff>9525</xdr:colOff>
          <xdr:row>3</xdr:row>
          <xdr:rowOff>180975</xdr:rowOff>
        </xdr:to>
        <xdr:sp macro="[0]!按钮3_Click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734175" y="650240"/>
              <a:ext cx="1552575" cy="59309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按钮 3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 View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AttendanceRecord" displayName="AttendanceRecord" ref="B5:AR17" totalsRowShown="0">
  <autoFilter ref="B5:AR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</autoFilter>
  <tableColumns count="43">
    <tableColumn id="1" name="星期几/月" dataDxfId="0"/>
    <tableColumn id="2" name="日" dataDxfId="1"/>
    <tableColumn id="3" name="一" dataDxfId="2"/>
    <tableColumn id="4" name="二" dataDxfId="3"/>
    <tableColumn id="5" name="三" dataDxfId="4"/>
    <tableColumn id="6" name="四" dataDxfId="5"/>
    <tableColumn id="7" name="五" dataDxfId="6"/>
    <tableColumn id="8" name="六" dataDxfId="7"/>
    <tableColumn id="9" name="日   " dataDxfId="8"/>
    <tableColumn id="10" name="一   " dataDxfId="9"/>
    <tableColumn id="11" name="二   " dataDxfId="10"/>
    <tableColumn id="12" name="三   " dataDxfId="11"/>
    <tableColumn id="13" name="四   " dataDxfId="12"/>
    <tableColumn id="14" name="五   " dataDxfId="13"/>
    <tableColumn id="15" name="六   " dataDxfId="14"/>
    <tableColumn id="16" name="日    " dataDxfId="15"/>
    <tableColumn id="17" name="一    " dataDxfId="16"/>
    <tableColumn id="18" name="二    " dataDxfId="17"/>
    <tableColumn id="19" name="三    " dataDxfId="18"/>
    <tableColumn id="20" name="四    " dataDxfId="19"/>
    <tableColumn id="21" name="五    " dataDxfId="20"/>
    <tableColumn id="22" name="六    " dataDxfId="21"/>
    <tableColumn id="23" name="日     " dataDxfId="22"/>
    <tableColumn id="24" name="一     " dataDxfId="23"/>
    <tableColumn id="25" name="二     " dataDxfId="24"/>
    <tableColumn id="26" name="三     " dataDxfId="25"/>
    <tableColumn id="27" name="四  " dataDxfId="26"/>
    <tableColumn id="28" name="五     " dataDxfId="27"/>
    <tableColumn id="29" name="六     " dataDxfId="28"/>
    <tableColumn id="30" name="日 " dataDxfId="29"/>
    <tableColumn id="31" name="一 " dataDxfId="30"/>
    <tableColumn id="32" name="二 " dataDxfId="31"/>
    <tableColumn id="33" name="三 " dataDxfId="32"/>
    <tableColumn id="34" name="四 " dataDxfId="33"/>
    <tableColumn id="35" name="五 " dataDxfId="34"/>
    <tableColumn id="36" name="六 " dataDxfId="35"/>
    <tableColumn id="37" name="日  " dataDxfId="36"/>
    <tableColumn id="38" name="一  " dataDxfId="37"/>
    <tableColumn id="39" name="二  " dataDxfId="38"/>
    <tableColumn id="40" name="三  " dataDxfId="39"/>
    <tableColumn id="41" name="四        " dataDxfId="40"/>
    <tableColumn id="42" name="五  " dataDxfId="41"/>
    <tableColumn id="43" name="六  " dataDxfId="42"/>
  </tableColumns>
  <tableStyleInfo name="考勤记录表样式" showFirstColumn="0" showLastColumn="0" showRowStripes="1" showColumnStripes="0"/>
</table>
</file>

<file path=xl/tables/table2.xml><?xml version="1.0" encoding="utf-8"?>
<table xmlns="http://schemas.openxmlformats.org/spreadsheetml/2006/main" id="1" name="LeaveTracker" displayName="LeaveTracker" ref="B3:F26">
  <autoFilter ref="B3:F26"/>
  <tableColumns count="5">
    <tableColumn id="1" name="员工姓名" totalsRowLabel="Total" dataDxfId="50"/>
    <tableColumn id="2" name="开始日期" dataDxfId="51"/>
    <tableColumn id="3" name="结束日期" dataDxfId="52"/>
    <tableColumn id="4" name="休假类型" dataDxfId="53"/>
    <tableColumn id="5" name="天数" totalsRowFunction="sum" dataDxfId="54"/>
  </tableColumns>
  <tableStyleInfo name="考勤记录表样式" showFirstColumn="1" showLastColumn="0" showRowStripes="1" showColumnStripes="0"/>
</table>
</file>

<file path=xl/tables/table3.xml><?xml version="1.0" encoding="utf-8"?>
<table xmlns="http://schemas.openxmlformats.org/spreadsheetml/2006/main" id="4" name="员工" displayName="员工" ref="B3:B8" totalsRowShown="0">
  <sortState ref="B3:B8">
    <sortCondition ref="B2:B25"/>
  </sortState>
  <tableColumns count="1">
    <tableColumn id="1" name="员工姓名" dataDxfId="55"/>
  </tableColumns>
  <tableStyleInfo name="考勤记录表样式" showFirstColumn="0" showLastColumn="0" showRowStripes="1" showColumnStripes="0"/>
</table>
</file>

<file path=xl/tables/table4.xml><?xml version="1.0" encoding="utf-8"?>
<table xmlns="http://schemas.openxmlformats.org/spreadsheetml/2006/main" id="5" name="休假类型" displayName="休假类型" ref="B3:B7" totalsRowShown="0">
  <tableColumns count="1">
    <tableColumn id="1" name="休假类型列表" dataDxfId="56"/>
  </tableColumns>
  <tableStyleInfo name="考勤记录表样式" showFirstColumn="0" showLastColumn="0" showRowStripes="1" showColumnStripes="0"/>
</table>
</file>

<file path=xl/tables/table5.xml><?xml version="1.0" encoding="utf-8"?>
<table xmlns="http://schemas.openxmlformats.org/spreadsheetml/2006/main" id="9" name="公司假期" displayName="公司假期" ref="B3:C9" totalsRowShown="0">
  <tableColumns count="2">
    <tableColumn id="1" name="公司假期" dataDxfId="57"/>
    <tableColumn id="2" name="说明" dataDxfId="58"/>
  </tableColumns>
  <tableStyleInfo name="考勤记录表样式" showFirstColumn="0" showLastColumn="0" showRowStripes="1" showColumnStripes="0"/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3"/>
    <pageSetUpPr fitToPage="1"/>
  </sheetPr>
  <dimension ref="B1:AR22"/>
  <sheetViews>
    <sheetView showGridLines="0" tabSelected="1" workbookViewId="0">
      <selection activeCell="Q15" sqref="P15:Q15"/>
    </sheetView>
  </sheetViews>
  <sheetFormatPr defaultColWidth="9" defaultRowHeight="16.5"/>
  <cols>
    <col min="1" max="1" width="2.77777777777778" style="1" customWidth="1"/>
    <col min="2" max="2" width="20.4444444444444" style="1" customWidth="1"/>
    <col min="3" max="3" width="6.44444444444444" style="1" customWidth="1"/>
    <col min="4" max="44" width="4.77777777777778" style="1" customWidth="1"/>
    <col min="45" max="45" width="2.77777777777778" style="1" customWidth="1"/>
    <col min="46" max="16384" width="8.88888888888889" style="1"/>
  </cols>
  <sheetData>
    <row r="1" ht="39.95" customHeight="1" spans="2:2">
      <c r="B1" s="7" t="s">
        <v>0</v>
      </c>
    </row>
    <row r="2" ht="21.75" customHeight="1" spans="2:29">
      <c r="B2" s="8" t="s">
        <v>1</v>
      </c>
      <c r="C2" s="9" t="s">
        <v>2</v>
      </c>
      <c r="D2" s="9"/>
      <c r="E2" s="9"/>
      <c r="F2" s="9"/>
      <c r="G2" s="9"/>
      <c r="H2" s="9"/>
      <c r="I2" s="9"/>
      <c r="J2" s="26" t="s">
        <v>3</v>
      </c>
      <c r="U2" s="11"/>
      <c r="V2" s="11"/>
      <c r="W2" s="11"/>
      <c r="X2" s="11"/>
      <c r="Y2" s="11"/>
      <c r="Z2" s="11"/>
      <c r="AA2" s="11"/>
      <c r="AB2" s="11"/>
      <c r="AC2" s="32"/>
    </row>
    <row r="3" ht="21.95" customHeight="1" spans="2:29">
      <c r="B3" s="8" t="s">
        <v>4</v>
      </c>
      <c r="C3" s="10">
        <f ca="1">YEAR(TODAY())</f>
        <v>2019</v>
      </c>
      <c r="D3" s="10"/>
      <c r="E3" s="10"/>
      <c r="F3" s="10"/>
      <c r="G3" s="10"/>
      <c r="H3" s="10"/>
      <c r="I3" s="10"/>
      <c r="J3" s="26"/>
      <c r="U3" s="11"/>
      <c r="V3" s="11"/>
      <c r="W3" s="11"/>
      <c r="X3" s="11"/>
      <c r="Y3" s="11"/>
      <c r="Z3" s="11"/>
      <c r="AA3" s="11"/>
      <c r="AB3" s="11"/>
      <c r="AC3" s="32"/>
    </row>
    <row r="4" ht="15" customHeight="1" spans="2:4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</row>
    <row r="5" spans="2:44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29</v>
      </c>
      <c r="AA5" s="1" t="s">
        <v>30</v>
      </c>
      <c r="AB5" s="1" t="s">
        <v>31</v>
      </c>
      <c r="AC5" s="1" t="s">
        <v>32</v>
      </c>
      <c r="AD5" s="1" t="s">
        <v>33</v>
      </c>
      <c r="AE5" s="1" t="s">
        <v>34</v>
      </c>
      <c r="AF5" s="1" t="s">
        <v>35</v>
      </c>
      <c r="AG5" s="1" t="s">
        <v>36</v>
      </c>
      <c r="AH5" s="1" t="s">
        <v>37</v>
      </c>
      <c r="AI5" s="1" t="s">
        <v>38</v>
      </c>
      <c r="AJ5" s="1" t="s">
        <v>39</v>
      </c>
      <c r="AK5" s="1" t="s">
        <v>40</v>
      </c>
      <c r="AL5" s="1" t="s">
        <v>41</v>
      </c>
      <c r="AM5" s="1" t="s">
        <v>42</v>
      </c>
      <c r="AN5" s="1" t="s">
        <v>43</v>
      </c>
      <c r="AO5" s="1" t="s">
        <v>44</v>
      </c>
      <c r="AP5" s="1" t="s">
        <v>45</v>
      </c>
      <c r="AQ5" s="1" t="s">
        <v>46</v>
      </c>
      <c r="AR5" s="1" t="s">
        <v>47</v>
      </c>
    </row>
    <row r="6" ht="18.75" customHeight="1" spans="2:44">
      <c r="B6" s="12" t="s">
        <v>48</v>
      </c>
      <c r="C6" s="13" t="str">
        <f ca="1" t="shared" ref="C6:C16" si="0">IFERROR(IF(TEXT(DATE(Calendar_Year,ROW($A1),1),"aaa")=LEFT(C$5,3),DATE(Calendar_Year,ROW($A1),1),""),"")</f>
        <v/>
      </c>
      <c r="D6" s="13" t="str">
        <f ca="1" t="shared" ref="D6:I16" si="1">IFERROR(IF(TEXT(DATE(Calendar_Year,ROW($A1),1),"aaa")=LEFT(D$5,3),DATE(Calendar_Year,ROW($A1),1),IF(C6&gt;=1,C6+1,"")),"")</f>
        <v/>
      </c>
      <c r="E6" s="13">
        <f ca="1" t="shared" si="1"/>
        <v>43466</v>
      </c>
      <c r="F6" s="13">
        <f ca="1" t="shared" si="1"/>
        <v>43467</v>
      </c>
      <c r="G6" s="13">
        <f ca="1" t="shared" si="1"/>
        <v>43468</v>
      </c>
      <c r="H6" s="13">
        <f ca="1" t="shared" si="1"/>
        <v>43469</v>
      </c>
      <c r="I6" s="13">
        <f ca="1" t="shared" si="1"/>
        <v>43470</v>
      </c>
      <c r="J6" s="13">
        <f ca="1" t="shared" ref="J6:J17" si="2">IFERROR(IF(I6&gt;=1,I6+1,""),"")</f>
        <v>43471</v>
      </c>
      <c r="K6" s="13">
        <f ca="1" t="shared" ref="K6:K17" si="3">IFERROR(IF(J6&gt;=1,J6+1,""),"")</f>
        <v>43472</v>
      </c>
      <c r="L6" s="13">
        <f ca="1" t="shared" ref="L6:L17" si="4">IFERROR(IF(K6&gt;=1,K6+1,""),"")</f>
        <v>43473</v>
      </c>
      <c r="M6" s="13">
        <f ca="1" t="shared" ref="M6:M17" si="5">IFERROR(IF(L6&gt;=1,L6+1,""),"")</f>
        <v>43474</v>
      </c>
      <c r="N6" s="13">
        <f ca="1" t="shared" ref="N6:N17" si="6">IFERROR(IF(M6&gt;=1,M6+1,""),"")</f>
        <v>43475</v>
      </c>
      <c r="O6" s="13">
        <f ca="1" t="shared" ref="O6:O17" si="7">IFERROR(IF(N6&gt;=1,N6+1,""),"")</f>
        <v>43476</v>
      </c>
      <c r="P6" s="13">
        <f ca="1" t="shared" ref="P6:P17" si="8">IFERROR(IF(O6&gt;=1,O6+1,""),"")</f>
        <v>43477</v>
      </c>
      <c r="Q6" s="13">
        <f ca="1" t="shared" ref="Q6:Q17" si="9">IFERROR(IF(P6&gt;=1,P6+1,""),"")</f>
        <v>43478</v>
      </c>
      <c r="R6" s="13">
        <f ca="1" t="shared" ref="R6:R17" si="10">IFERROR(IF(Q6&gt;=1,Q6+1,""),"")</f>
        <v>43479</v>
      </c>
      <c r="S6" s="13">
        <f ca="1" t="shared" ref="S6:S17" si="11">IFERROR(IF(R6&gt;=1,R6+1,""),"")</f>
        <v>43480</v>
      </c>
      <c r="T6" s="13">
        <f ca="1" t="shared" ref="T6:T17" si="12">IFERROR(IF(S6&gt;=1,S6+1,""),"")</f>
        <v>43481</v>
      </c>
      <c r="U6" s="13">
        <f ca="1" t="shared" ref="U6:U17" si="13">IFERROR(IF(T6&gt;=1,T6+1,""),"")</f>
        <v>43482</v>
      </c>
      <c r="V6" s="13">
        <f ca="1" t="shared" ref="V6:V17" si="14">IFERROR(IF(U6&gt;=1,U6+1,""),"")</f>
        <v>43483</v>
      </c>
      <c r="W6" s="13">
        <f ca="1" t="shared" ref="W6:W17" si="15">IFERROR(IF(V6&gt;=1,V6+1,""),"")</f>
        <v>43484</v>
      </c>
      <c r="X6" s="13">
        <f ca="1" t="shared" ref="X6:X17" si="16">IFERROR(IF(W6&gt;=1,W6+1,""),"")</f>
        <v>43485</v>
      </c>
      <c r="Y6" s="13">
        <f ca="1" t="shared" ref="Y6:Y17" si="17">IFERROR(IF(X6&gt;=1,X6+1,""),"")</f>
        <v>43486</v>
      </c>
      <c r="Z6" s="13">
        <f ca="1" t="shared" ref="Z6:Z17" si="18">IFERROR(IF(Y6&gt;=1,Y6+1,""),"")</f>
        <v>43487</v>
      </c>
      <c r="AA6" s="13">
        <f ca="1" t="shared" ref="AA6:AA17" si="19">IFERROR(IF(Z6&gt;=1,Z6+1,""),"")</f>
        <v>43488</v>
      </c>
      <c r="AB6" s="13">
        <f ca="1" t="shared" ref="AB6:AB17" si="20">IFERROR(IF(AA6&gt;=1,AA6+1,""),"")</f>
        <v>43489</v>
      </c>
      <c r="AC6" s="13">
        <f ca="1" t="shared" ref="AC6:AC17" si="21">IFERROR(IF(AB6&gt;=1,AB6+1,""),"")</f>
        <v>43490</v>
      </c>
      <c r="AD6" s="13">
        <f ca="1" t="shared" ref="AD6:AD17" si="22">IFERROR(IF(AC6&gt;=1,AC6+1,""),"")</f>
        <v>43491</v>
      </c>
      <c r="AE6" s="13">
        <f ca="1" t="shared" ref="AE6:AE17" si="23">IFERROR(IF(AD6&gt;=1,AD6+1,""),"")</f>
        <v>43492</v>
      </c>
      <c r="AF6" s="13">
        <f ca="1" t="shared" ref="AF6:AF17" si="24">IFERROR(IF(AE6&gt;=1,AE6+1,""),"")</f>
        <v>43493</v>
      </c>
      <c r="AG6" s="13">
        <f ca="1" t="shared" ref="AG6:AG17" si="25">IFERROR(IF(AF6&gt;=1,AF6+1,""),"")</f>
        <v>43494</v>
      </c>
      <c r="AH6" s="13">
        <f ca="1" t="shared" ref="AH6:AH17" si="26">IFERROR(IF(AG6&gt;=1,AG6+1,""),"")</f>
        <v>43495</v>
      </c>
      <c r="AI6" s="13">
        <f ca="1" t="shared" ref="AI6:AI17" si="27">IFERROR(IF(AH6&gt;=1,AH6+1,""),"")</f>
        <v>43496</v>
      </c>
      <c r="AJ6" s="13">
        <f ca="1" t="shared" ref="AJ6:AJ17" si="28">IFERROR(IF(AI6&gt;=1,AI6+1,""),"")</f>
        <v>43497</v>
      </c>
      <c r="AK6" s="13">
        <f ca="1" t="shared" ref="AK6:AK17" si="29">IFERROR(IF(AJ6&gt;=1,AJ6+1,""),"")</f>
        <v>43498</v>
      </c>
      <c r="AL6" s="13" t="str">
        <f ca="1" t="shared" ref="AL6:AR16" si="30">IFERROR(IF(AND(AK6&gt;=1,AK6+1&lt;=DATE(Calendar_Year,ROW($A1)+1,0)),AK6+1,""),"")</f>
        <v/>
      </c>
      <c r="AM6" s="13" t="str">
        <f ca="1" t="shared" si="30"/>
        <v/>
      </c>
      <c r="AN6" s="13" t="str">
        <f ca="1" t="shared" si="30"/>
        <v/>
      </c>
      <c r="AO6" s="13" t="str">
        <f ca="1" t="shared" si="30"/>
        <v/>
      </c>
      <c r="AP6" s="13" t="str">
        <f ca="1" t="shared" si="30"/>
        <v/>
      </c>
      <c r="AQ6" s="13" t="str">
        <f ca="1" t="shared" si="30"/>
        <v/>
      </c>
      <c r="AR6" s="13" t="str">
        <f ca="1" t="shared" si="30"/>
        <v/>
      </c>
    </row>
    <row r="7" ht="18.75" customHeight="1" spans="2:44">
      <c r="B7" s="12" t="s">
        <v>49</v>
      </c>
      <c r="C7" s="13" t="str">
        <f ca="1" t="shared" si="0"/>
        <v/>
      </c>
      <c r="D7" s="13" t="str">
        <f ca="1" t="shared" si="1"/>
        <v/>
      </c>
      <c r="E7" s="13" t="str">
        <f ca="1" t="shared" si="1"/>
        <v/>
      </c>
      <c r="F7" s="13" t="str">
        <f ca="1" t="shared" si="1"/>
        <v/>
      </c>
      <c r="G7" s="13" t="str">
        <f ca="1" t="shared" si="1"/>
        <v/>
      </c>
      <c r="H7" s="13">
        <f ca="1" t="shared" si="1"/>
        <v>43497</v>
      </c>
      <c r="I7" s="13">
        <f ca="1" t="shared" si="1"/>
        <v>43498</v>
      </c>
      <c r="J7" s="13">
        <f ca="1" t="shared" si="2"/>
        <v>43499</v>
      </c>
      <c r="K7" s="13">
        <f ca="1" t="shared" si="3"/>
        <v>43500</v>
      </c>
      <c r="L7" s="13">
        <f ca="1" t="shared" si="4"/>
        <v>43501</v>
      </c>
      <c r="M7" s="13">
        <f ca="1" t="shared" si="5"/>
        <v>43502</v>
      </c>
      <c r="N7" s="13">
        <f ca="1" t="shared" si="6"/>
        <v>43503</v>
      </c>
      <c r="O7" s="13">
        <f ca="1" t="shared" si="7"/>
        <v>43504</v>
      </c>
      <c r="P7" s="13">
        <f ca="1" t="shared" si="8"/>
        <v>43505</v>
      </c>
      <c r="Q7" s="13">
        <f ca="1" t="shared" si="9"/>
        <v>43506</v>
      </c>
      <c r="R7" s="13">
        <f ca="1" t="shared" si="10"/>
        <v>43507</v>
      </c>
      <c r="S7" s="13">
        <f ca="1" t="shared" si="11"/>
        <v>43508</v>
      </c>
      <c r="T7" s="13">
        <f ca="1" t="shared" si="12"/>
        <v>43509</v>
      </c>
      <c r="U7" s="13">
        <f ca="1" t="shared" si="13"/>
        <v>43510</v>
      </c>
      <c r="V7" s="13">
        <f ca="1" t="shared" si="14"/>
        <v>43511</v>
      </c>
      <c r="W7" s="13">
        <f ca="1" t="shared" si="15"/>
        <v>43512</v>
      </c>
      <c r="X7" s="13">
        <f ca="1" t="shared" si="16"/>
        <v>43513</v>
      </c>
      <c r="Y7" s="13">
        <f ca="1" t="shared" si="17"/>
        <v>43514</v>
      </c>
      <c r="Z7" s="13">
        <f ca="1" t="shared" si="18"/>
        <v>43515</v>
      </c>
      <c r="AA7" s="13">
        <f ca="1" t="shared" si="19"/>
        <v>43516</v>
      </c>
      <c r="AB7" s="13">
        <f ca="1" t="shared" si="20"/>
        <v>43517</v>
      </c>
      <c r="AC7" s="13">
        <f ca="1" t="shared" si="21"/>
        <v>43518</v>
      </c>
      <c r="AD7" s="13">
        <f ca="1" t="shared" si="22"/>
        <v>43519</v>
      </c>
      <c r="AE7" s="13">
        <f ca="1" t="shared" si="23"/>
        <v>43520</v>
      </c>
      <c r="AF7" s="13">
        <f ca="1" t="shared" si="24"/>
        <v>43521</v>
      </c>
      <c r="AG7" s="13">
        <f ca="1" t="shared" si="25"/>
        <v>43522</v>
      </c>
      <c r="AH7" s="13">
        <f ca="1" t="shared" si="26"/>
        <v>43523</v>
      </c>
      <c r="AI7" s="13">
        <f ca="1" t="shared" si="27"/>
        <v>43524</v>
      </c>
      <c r="AJ7" s="13">
        <f ca="1" t="shared" si="28"/>
        <v>43525</v>
      </c>
      <c r="AK7" s="13">
        <f ca="1" t="shared" si="29"/>
        <v>43526</v>
      </c>
      <c r="AL7" s="13" t="str">
        <f ca="1" t="shared" si="30"/>
        <v/>
      </c>
      <c r="AM7" s="13" t="str">
        <f ca="1" t="shared" si="30"/>
        <v/>
      </c>
      <c r="AN7" s="13" t="str">
        <f ca="1" t="shared" si="30"/>
        <v/>
      </c>
      <c r="AO7" s="13" t="str">
        <f ca="1" t="shared" si="30"/>
        <v/>
      </c>
      <c r="AP7" s="13" t="str">
        <f ca="1" t="shared" si="30"/>
        <v/>
      </c>
      <c r="AQ7" s="13" t="str">
        <f ca="1" t="shared" si="30"/>
        <v/>
      </c>
      <c r="AR7" s="13" t="str">
        <f ca="1" t="shared" si="30"/>
        <v/>
      </c>
    </row>
    <row r="8" ht="18.75" customHeight="1" spans="2:44">
      <c r="B8" s="12" t="s">
        <v>50</v>
      </c>
      <c r="C8" s="13" t="str">
        <f ca="1" t="shared" si="0"/>
        <v/>
      </c>
      <c r="D8" s="13" t="str">
        <f ca="1" t="shared" si="1"/>
        <v/>
      </c>
      <c r="E8" s="13" t="str">
        <f ca="1" t="shared" si="1"/>
        <v/>
      </c>
      <c r="F8" s="13" t="str">
        <f ca="1" t="shared" si="1"/>
        <v/>
      </c>
      <c r="G8" s="13" t="str">
        <f ca="1" t="shared" si="1"/>
        <v/>
      </c>
      <c r="H8" s="13">
        <f ca="1" t="shared" si="1"/>
        <v>43525</v>
      </c>
      <c r="I8" s="13">
        <f ca="1" t="shared" si="1"/>
        <v>43526</v>
      </c>
      <c r="J8" s="13">
        <f ca="1" t="shared" si="2"/>
        <v>43527</v>
      </c>
      <c r="K8" s="13">
        <f ca="1" t="shared" si="3"/>
        <v>43528</v>
      </c>
      <c r="L8" s="13">
        <f ca="1" t="shared" si="4"/>
        <v>43529</v>
      </c>
      <c r="M8" s="13">
        <f ca="1" t="shared" si="5"/>
        <v>43530</v>
      </c>
      <c r="N8" s="13">
        <f ca="1" t="shared" si="6"/>
        <v>43531</v>
      </c>
      <c r="O8" s="13">
        <f ca="1" t="shared" si="7"/>
        <v>43532</v>
      </c>
      <c r="P8" s="13">
        <f ca="1" t="shared" si="8"/>
        <v>43533</v>
      </c>
      <c r="Q8" s="13">
        <f ca="1" t="shared" si="9"/>
        <v>43534</v>
      </c>
      <c r="R8" s="13">
        <f ca="1" t="shared" si="10"/>
        <v>43535</v>
      </c>
      <c r="S8" s="13">
        <f ca="1" t="shared" si="11"/>
        <v>43536</v>
      </c>
      <c r="T8" s="13">
        <f ca="1" t="shared" si="12"/>
        <v>43537</v>
      </c>
      <c r="U8" s="13">
        <f ca="1" t="shared" si="13"/>
        <v>43538</v>
      </c>
      <c r="V8" s="13">
        <f ca="1" t="shared" si="14"/>
        <v>43539</v>
      </c>
      <c r="W8" s="13">
        <f ca="1" t="shared" si="15"/>
        <v>43540</v>
      </c>
      <c r="X8" s="13">
        <f ca="1" t="shared" si="16"/>
        <v>43541</v>
      </c>
      <c r="Y8" s="13">
        <f ca="1" t="shared" si="17"/>
        <v>43542</v>
      </c>
      <c r="Z8" s="13">
        <f ca="1" t="shared" si="18"/>
        <v>43543</v>
      </c>
      <c r="AA8" s="13">
        <f ca="1" t="shared" si="19"/>
        <v>43544</v>
      </c>
      <c r="AB8" s="13">
        <f ca="1" t="shared" si="20"/>
        <v>43545</v>
      </c>
      <c r="AC8" s="13">
        <f ca="1" t="shared" si="21"/>
        <v>43546</v>
      </c>
      <c r="AD8" s="13">
        <f ca="1" t="shared" si="22"/>
        <v>43547</v>
      </c>
      <c r="AE8" s="13">
        <f ca="1" t="shared" si="23"/>
        <v>43548</v>
      </c>
      <c r="AF8" s="13">
        <f ca="1" t="shared" si="24"/>
        <v>43549</v>
      </c>
      <c r="AG8" s="13">
        <f ca="1" t="shared" si="25"/>
        <v>43550</v>
      </c>
      <c r="AH8" s="13">
        <f ca="1" t="shared" si="26"/>
        <v>43551</v>
      </c>
      <c r="AI8" s="13">
        <f ca="1" t="shared" si="27"/>
        <v>43552</v>
      </c>
      <c r="AJ8" s="13">
        <f ca="1" t="shared" si="28"/>
        <v>43553</v>
      </c>
      <c r="AK8" s="13">
        <f ca="1" t="shared" si="29"/>
        <v>43554</v>
      </c>
      <c r="AL8" s="13">
        <f ca="1" t="shared" si="30"/>
        <v>43555</v>
      </c>
      <c r="AM8" s="13" t="str">
        <f ca="1" t="shared" si="30"/>
        <v/>
      </c>
      <c r="AN8" s="13" t="str">
        <f ca="1" t="shared" si="30"/>
        <v/>
      </c>
      <c r="AO8" s="13" t="str">
        <f ca="1" t="shared" si="30"/>
        <v/>
      </c>
      <c r="AP8" s="13" t="str">
        <f ca="1" t="shared" si="30"/>
        <v/>
      </c>
      <c r="AQ8" s="13" t="str">
        <f ca="1" t="shared" si="30"/>
        <v/>
      </c>
      <c r="AR8" s="13" t="str">
        <f ca="1" t="shared" si="30"/>
        <v/>
      </c>
    </row>
    <row r="9" ht="18.75" customHeight="1" spans="2:44">
      <c r="B9" s="12" t="s">
        <v>51</v>
      </c>
      <c r="C9" s="13" t="str">
        <f ca="1" t="shared" si="0"/>
        <v/>
      </c>
      <c r="D9" s="13">
        <f ca="1" t="shared" si="1"/>
        <v>43556</v>
      </c>
      <c r="E9" s="13">
        <f ca="1" t="shared" si="1"/>
        <v>43557</v>
      </c>
      <c r="F9" s="13">
        <f ca="1" t="shared" si="1"/>
        <v>43558</v>
      </c>
      <c r="G9" s="13">
        <f ca="1" t="shared" si="1"/>
        <v>43559</v>
      </c>
      <c r="H9" s="13">
        <f ca="1" t="shared" si="1"/>
        <v>43560</v>
      </c>
      <c r="I9" s="13">
        <f ca="1" t="shared" si="1"/>
        <v>43561</v>
      </c>
      <c r="J9" s="13">
        <f ca="1" t="shared" si="2"/>
        <v>43562</v>
      </c>
      <c r="K9" s="13">
        <f ca="1" t="shared" si="3"/>
        <v>43563</v>
      </c>
      <c r="L9" s="13">
        <f ca="1" t="shared" si="4"/>
        <v>43564</v>
      </c>
      <c r="M9" s="13">
        <f ca="1" t="shared" si="5"/>
        <v>43565</v>
      </c>
      <c r="N9" s="13">
        <f ca="1" t="shared" si="6"/>
        <v>43566</v>
      </c>
      <c r="O9" s="13">
        <f ca="1" t="shared" si="7"/>
        <v>43567</v>
      </c>
      <c r="P9" s="13">
        <f ca="1" t="shared" si="8"/>
        <v>43568</v>
      </c>
      <c r="Q9" s="13">
        <f ca="1" t="shared" si="9"/>
        <v>43569</v>
      </c>
      <c r="R9" s="13">
        <f ca="1" t="shared" si="10"/>
        <v>43570</v>
      </c>
      <c r="S9" s="13">
        <f ca="1" t="shared" si="11"/>
        <v>43571</v>
      </c>
      <c r="T9" s="13">
        <f ca="1" t="shared" si="12"/>
        <v>43572</v>
      </c>
      <c r="U9" s="13">
        <f ca="1" t="shared" si="13"/>
        <v>43573</v>
      </c>
      <c r="V9" s="13">
        <f ca="1" t="shared" si="14"/>
        <v>43574</v>
      </c>
      <c r="W9" s="13">
        <f ca="1" t="shared" si="15"/>
        <v>43575</v>
      </c>
      <c r="X9" s="13">
        <f ca="1" t="shared" si="16"/>
        <v>43576</v>
      </c>
      <c r="Y9" s="13">
        <f ca="1" t="shared" si="17"/>
        <v>43577</v>
      </c>
      <c r="Z9" s="13">
        <f ca="1" t="shared" si="18"/>
        <v>43578</v>
      </c>
      <c r="AA9" s="13">
        <f ca="1" t="shared" si="19"/>
        <v>43579</v>
      </c>
      <c r="AB9" s="13">
        <f ca="1" t="shared" si="20"/>
        <v>43580</v>
      </c>
      <c r="AC9" s="13">
        <f ca="1" t="shared" si="21"/>
        <v>43581</v>
      </c>
      <c r="AD9" s="13">
        <f ca="1" t="shared" si="22"/>
        <v>43582</v>
      </c>
      <c r="AE9" s="13">
        <f ca="1" t="shared" si="23"/>
        <v>43583</v>
      </c>
      <c r="AF9" s="13">
        <f ca="1" t="shared" si="24"/>
        <v>43584</v>
      </c>
      <c r="AG9" s="13">
        <f ca="1" t="shared" si="25"/>
        <v>43585</v>
      </c>
      <c r="AH9" s="13">
        <f ca="1" t="shared" si="26"/>
        <v>43586</v>
      </c>
      <c r="AI9" s="13">
        <f ca="1" t="shared" si="27"/>
        <v>43587</v>
      </c>
      <c r="AJ9" s="13">
        <f ca="1" t="shared" si="28"/>
        <v>43588</v>
      </c>
      <c r="AK9" s="13">
        <f ca="1" t="shared" si="29"/>
        <v>43589</v>
      </c>
      <c r="AL9" s="13" t="str">
        <f ca="1" t="shared" si="30"/>
        <v/>
      </c>
      <c r="AM9" s="13" t="str">
        <f ca="1" t="shared" si="30"/>
        <v/>
      </c>
      <c r="AN9" s="13" t="str">
        <f ca="1" t="shared" si="30"/>
        <v/>
      </c>
      <c r="AO9" s="13" t="str">
        <f ca="1" t="shared" si="30"/>
        <v/>
      </c>
      <c r="AP9" s="13" t="str">
        <f ca="1" t="shared" si="30"/>
        <v/>
      </c>
      <c r="AQ9" s="13" t="str">
        <f ca="1" t="shared" si="30"/>
        <v/>
      </c>
      <c r="AR9" s="13" t="str">
        <f ca="1" t="shared" si="30"/>
        <v/>
      </c>
    </row>
    <row r="10" ht="18.75" customHeight="1" spans="2:44">
      <c r="B10" s="12" t="s">
        <v>52</v>
      </c>
      <c r="C10" s="13" t="str">
        <f ca="1" t="shared" si="0"/>
        <v/>
      </c>
      <c r="D10" s="13" t="str">
        <f ca="1" t="shared" si="1"/>
        <v/>
      </c>
      <c r="E10" s="13" t="str">
        <f ca="1" t="shared" si="1"/>
        <v/>
      </c>
      <c r="F10" s="13">
        <f ca="1" t="shared" si="1"/>
        <v>43586</v>
      </c>
      <c r="G10" s="13">
        <f ca="1" t="shared" si="1"/>
        <v>43587</v>
      </c>
      <c r="H10" s="13">
        <f ca="1" t="shared" si="1"/>
        <v>43588</v>
      </c>
      <c r="I10" s="13">
        <f ca="1" t="shared" si="1"/>
        <v>43589</v>
      </c>
      <c r="J10" s="13">
        <f ca="1" t="shared" si="2"/>
        <v>43590</v>
      </c>
      <c r="K10" s="13">
        <f ca="1" t="shared" si="3"/>
        <v>43591</v>
      </c>
      <c r="L10" s="13">
        <f ca="1" t="shared" si="4"/>
        <v>43592</v>
      </c>
      <c r="M10" s="13">
        <f ca="1" t="shared" si="5"/>
        <v>43593</v>
      </c>
      <c r="N10" s="13">
        <f ca="1" t="shared" si="6"/>
        <v>43594</v>
      </c>
      <c r="O10" s="13">
        <f ca="1" t="shared" si="7"/>
        <v>43595</v>
      </c>
      <c r="P10" s="13">
        <f ca="1" t="shared" si="8"/>
        <v>43596</v>
      </c>
      <c r="Q10" s="13">
        <f ca="1" t="shared" si="9"/>
        <v>43597</v>
      </c>
      <c r="R10" s="13">
        <f ca="1" t="shared" si="10"/>
        <v>43598</v>
      </c>
      <c r="S10" s="13">
        <f ca="1" t="shared" si="11"/>
        <v>43599</v>
      </c>
      <c r="T10" s="13">
        <f ca="1" t="shared" si="12"/>
        <v>43600</v>
      </c>
      <c r="U10" s="13">
        <f ca="1" t="shared" si="13"/>
        <v>43601</v>
      </c>
      <c r="V10" s="13">
        <f ca="1" t="shared" si="14"/>
        <v>43602</v>
      </c>
      <c r="W10" s="13">
        <f ca="1" t="shared" si="15"/>
        <v>43603</v>
      </c>
      <c r="X10" s="13">
        <f ca="1" t="shared" si="16"/>
        <v>43604</v>
      </c>
      <c r="Y10" s="13">
        <f ca="1" t="shared" si="17"/>
        <v>43605</v>
      </c>
      <c r="Z10" s="13">
        <f ca="1" t="shared" si="18"/>
        <v>43606</v>
      </c>
      <c r="AA10" s="13">
        <f ca="1" t="shared" si="19"/>
        <v>43607</v>
      </c>
      <c r="AB10" s="13">
        <f ca="1" t="shared" si="20"/>
        <v>43608</v>
      </c>
      <c r="AC10" s="13">
        <f ca="1" t="shared" si="21"/>
        <v>43609</v>
      </c>
      <c r="AD10" s="13">
        <f ca="1" t="shared" si="22"/>
        <v>43610</v>
      </c>
      <c r="AE10" s="13">
        <f ca="1" t="shared" si="23"/>
        <v>43611</v>
      </c>
      <c r="AF10" s="13">
        <f ca="1" t="shared" si="24"/>
        <v>43612</v>
      </c>
      <c r="AG10" s="13">
        <f ca="1" t="shared" si="25"/>
        <v>43613</v>
      </c>
      <c r="AH10" s="13">
        <f ca="1" t="shared" si="26"/>
        <v>43614</v>
      </c>
      <c r="AI10" s="13">
        <f ca="1" t="shared" si="27"/>
        <v>43615</v>
      </c>
      <c r="AJ10" s="13">
        <f ca="1" t="shared" si="28"/>
        <v>43616</v>
      </c>
      <c r="AK10" s="13">
        <f ca="1" t="shared" si="29"/>
        <v>43617</v>
      </c>
      <c r="AL10" s="13" t="str">
        <f ca="1" t="shared" si="30"/>
        <v/>
      </c>
      <c r="AM10" s="13" t="str">
        <f ca="1" t="shared" si="30"/>
        <v/>
      </c>
      <c r="AN10" s="13" t="str">
        <f ca="1" t="shared" si="30"/>
        <v/>
      </c>
      <c r="AO10" s="13" t="str">
        <f ca="1" t="shared" si="30"/>
        <v/>
      </c>
      <c r="AP10" s="13" t="str">
        <f ca="1" t="shared" si="30"/>
        <v/>
      </c>
      <c r="AQ10" s="13" t="str">
        <f ca="1" t="shared" si="30"/>
        <v/>
      </c>
      <c r="AR10" s="13" t="str">
        <f ca="1" t="shared" si="30"/>
        <v/>
      </c>
    </row>
    <row r="11" ht="18.75" customHeight="1" spans="2:44">
      <c r="B11" s="12" t="s">
        <v>53</v>
      </c>
      <c r="C11" s="13" t="str">
        <f ca="1" t="shared" si="0"/>
        <v/>
      </c>
      <c r="D11" s="13" t="str">
        <f ca="1" t="shared" si="1"/>
        <v/>
      </c>
      <c r="E11" s="13" t="str">
        <f ca="1" t="shared" si="1"/>
        <v/>
      </c>
      <c r="F11" s="13" t="str">
        <f ca="1" t="shared" si="1"/>
        <v/>
      </c>
      <c r="G11" s="13" t="str">
        <f ca="1" t="shared" si="1"/>
        <v/>
      </c>
      <c r="H11" s="13" t="str">
        <f ca="1" t="shared" si="1"/>
        <v/>
      </c>
      <c r="I11" s="13">
        <f ca="1" t="shared" si="1"/>
        <v>43617</v>
      </c>
      <c r="J11" s="13">
        <f ca="1" t="shared" si="2"/>
        <v>43618</v>
      </c>
      <c r="K11" s="13">
        <f ca="1" t="shared" si="3"/>
        <v>43619</v>
      </c>
      <c r="L11" s="13">
        <f ca="1" t="shared" si="4"/>
        <v>43620</v>
      </c>
      <c r="M11" s="13">
        <f ca="1" t="shared" si="5"/>
        <v>43621</v>
      </c>
      <c r="N11" s="13">
        <f ca="1" t="shared" si="6"/>
        <v>43622</v>
      </c>
      <c r="O11" s="13">
        <f ca="1" t="shared" si="7"/>
        <v>43623</v>
      </c>
      <c r="P11" s="13">
        <f ca="1" t="shared" si="8"/>
        <v>43624</v>
      </c>
      <c r="Q11" s="13">
        <f ca="1" t="shared" si="9"/>
        <v>43625</v>
      </c>
      <c r="R11" s="13">
        <f ca="1" t="shared" si="10"/>
        <v>43626</v>
      </c>
      <c r="S11" s="13">
        <f ca="1" t="shared" si="11"/>
        <v>43627</v>
      </c>
      <c r="T11" s="13">
        <f ca="1" t="shared" si="12"/>
        <v>43628</v>
      </c>
      <c r="U11" s="13">
        <f ca="1" t="shared" si="13"/>
        <v>43629</v>
      </c>
      <c r="V11" s="13">
        <f ca="1" t="shared" si="14"/>
        <v>43630</v>
      </c>
      <c r="W11" s="13">
        <f ca="1" t="shared" si="15"/>
        <v>43631</v>
      </c>
      <c r="X11" s="13">
        <f ca="1" t="shared" si="16"/>
        <v>43632</v>
      </c>
      <c r="Y11" s="13">
        <f ca="1" t="shared" si="17"/>
        <v>43633</v>
      </c>
      <c r="Z11" s="13">
        <f ca="1" t="shared" si="18"/>
        <v>43634</v>
      </c>
      <c r="AA11" s="13">
        <f ca="1" t="shared" si="19"/>
        <v>43635</v>
      </c>
      <c r="AB11" s="13">
        <f ca="1" t="shared" si="20"/>
        <v>43636</v>
      </c>
      <c r="AC11" s="13">
        <f ca="1" t="shared" si="21"/>
        <v>43637</v>
      </c>
      <c r="AD11" s="13">
        <f ca="1" t="shared" si="22"/>
        <v>43638</v>
      </c>
      <c r="AE11" s="13">
        <f ca="1" t="shared" si="23"/>
        <v>43639</v>
      </c>
      <c r="AF11" s="13">
        <f ca="1" t="shared" si="24"/>
        <v>43640</v>
      </c>
      <c r="AG11" s="13">
        <f ca="1" t="shared" si="25"/>
        <v>43641</v>
      </c>
      <c r="AH11" s="13">
        <f ca="1" t="shared" si="26"/>
        <v>43642</v>
      </c>
      <c r="AI11" s="13">
        <f ca="1" t="shared" si="27"/>
        <v>43643</v>
      </c>
      <c r="AJ11" s="13">
        <f ca="1" t="shared" si="28"/>
        <v>43644</v>
      </c>
      <c r="AK11" s="13">
        <f ca="1" t="shared" si="29"/>
        <v>43645</v>
      </c>
      <c r="AL11" s="13">
        <f ca="1" t="shared" si="30"/>
        <v>43646</v>
      </c>
      <c r="AM11" s="13" t="str">
        <f ca="1" t="shared" si="30"/>
        <v/>
      </c>
      <c r="AN11" s="13" t="str">
        <f ca="1" t="shared" si="30"/>
        <v/>
      </c>
      <c r="AO11" s="13" t="str">
        <f ca="1" t="shared" si="30"/>
        <v/>
      </c>
      <c r="AP11" s="13" t="str">
        <f ca="1" t="shared" si="30"/>
        <v/>
      </c>
      <c r="AQ11" s="13" t="str">
        <f ca="1" t="shared" si="30"/>
        <v/>
      </c>
      <c r="AR11" s="13" t="str">
        <f ca="1" t="shared" si="30"/>
        <v/>
      </c>
    </row>
    <row r="12" ht="18.75" customHeight="1" spans="2:44">
      <c r="B12" s="12" t="s">
        <v>54</v>
      </c>
      <c r="C12" s="13" t="str">
        <f ca="1" t="shared" si="0"/>
        <v/>
      </c>
      <c r="D12" s="13">
        <f ca="1" t="shared" si="1"/>
        <v>43647</v>
      </c>
      <c r="E12" s="13">
        <f ca="1" t="shared" si="1"/>
        <v>43648</v>
      </c>
      <c r="F12" s="13">
        <f ca="1" t="shared" si="1"/>
        <v>43649</v>
      </c>
      <c r="G12" s="13">
        <f ca="1" t="shared" si="1"/>
        <v>43650</v>
      </c>
      <c r="H12" s="13">
        <f ca="1" t="shared" si="1"/>
        <v>43651</v>
      </c>
      <c r="I12" s="13">
        <f ca="1" t="shared" si="1"/>
        <v>43652</v>
      </c>
      <c r="J12" s="13">
        <f ca="1" t="shared" si="2"/>
        <v>43653</v>
      </c>
      <c r="K12" s="13">
        <f ca="1" t="shared" si="3"/>
        <v>43654</v>
      </c>
      <c r="L12" s="13">
        <f ca="1" t="shared" si="4"/>
        <v>43655</v>
      </c>
      <c r="M12" s="13">
        <f ca="1" t="shared" si="5"/>
        <v>43656</v>
      </c>
      <c r="N12" s="13">
        <f ca="1" t="shared" si="6"/>
        <v>43657</v>
      </c>
      <c r="O12" s="13">
        <f ca="1" t="shared" si="7"/>
        <v>43658</v>
      </c>
      <c r="P12" s="13">
        <f ca="1" t="shared" si="8"/>
        <v>43659</v>
      </c>
      <c r="Q12" s="13">
        <f ca="1" t="shared" si="9"/>
        <v>43660</v>
      </c>
      <c r="R12" s="13">
        <f ca="1" t="shared" si="10"/>
        <v>43661</v>
      </c>
      <c r="S12" s="13">
        <f ca="1" t="shared" si="11"/>
        <v>43662</v>
      </c>
      <c r="T12" s="13">
        <f ca="1" t="shared" si="12"/>
        <v>43663</v>
      </c>
      <c r="U12" s="13">
        <f ca="1" t="shared" si="13"/>
        <v>43664</v>
      </c>
      <c r="V12" s="13">
        <f ca="1" t="shared" si="14"/>
        <v>43665</v>
      </c>
      <c r="W12" s="13">
        <f ca="1" t="shared" si="15"/>
        <v>43666</v>
      </c>
      <c r="X12" s="13">
        <f ca="1" t="shared" si="16"/>
        <v>43667</v>
      </c>
      <c r="Y12" s="13">
        <f ca="1" t="shared" si="17"/>
        <v>43668</v>
      </c>
      <c r="Z12" s="13">
        <f ca="1" t="shared" si="18"/>
        <v>43669</v>
      </c>
      <c r="AA12" s="13">
        <f ca="1" t="shared" si="19"/>
        <v>43670</v>
      </c>
      <c r="AB12" s="13">
        <f ca="1" t="shared" si="20"/>
        <v>43671</v>
      </c>
      <c r="AC12" s="13">
        <f ca="1" t="shared" si="21"/>
        <v>43672</v>
      </c>
      <c r="AD12" s="13">
        <f ca="1" t="shared" si="22"/>
        <v>43673</v>
      </c>
      <c r="AE12" s="13">
        <f ca="1" t="shared" si="23"/>
        <v>43674</v>
      </c>
      <c r="AF12" s="13">
        <f ca="1" t="shared" si="24"/>
        <v>43675</v>
      </c>
      <c r="AG12" s="13">
        <f ca="1" t="shared" si="25"/>
        <v>43676</v>
      </c>
      <c r="AH12" s="13">
        <f ca="1" t="shared" si="26"/>
        <v>43677</v>
      </c>
      <c r="AI12" s="13">
        <f ca="1" t="shared" si="27"/>
        <v>43678</v>
      </c>
      <c r="AJ12" s="13">
        <f ca="1" t="shared" si="28"/>
        <v>43679</v>
      </c>
      <c r="AK12" s="13">
        <f ca="1" t="shared" si="29"/>
        <v>43680</v>
      </c>
      <c r="AL12" s="13" t="str">
        <f ca="1" t="shared" si="30"/>
        <v/>
      </c>
      <c r="AM12" s="13" t="str">
        <f ca="1" t="shared" si="30"/>
        <v/>
      </c>
      <c r="AN12" s="13" t="str">
        <f ca="1" t="shared" si="30"/>
        <v/>
      </c>
      <c r="AO12" s="13" t="str">
        <f ca="1" t="shared" si="30"/>
        <v/>
      </c>
      <c r="AP12" s="13" t="str">
        <f ca="1" t="shared" si="30"/>
        <v/>
      </c>
      <c r="AQ12" s="13" t="str">
        <f ca="1" t="shared" si="30"/>
        <v/>
      </c>
      <c r="AR12" s="13" t="str">
        <f ca="1" t="shared" si="30"/>
        <v/>
      </c>
    </row>
    <row r="13" ht="18.75" customHeight="1" spans="2:44">
      <c r="B13" s="12" t="s">
        <v>55</v>
      </c>
      <c r="C13" s="13" t="str">
        <f ca="1" t="shared" si="0"/>
        <v/>
      </c>
      <c r="D13" s="13" t="str">
        <f ca="1" t="shared" si="1"/>
        <v/>
      </c>
      <c r="E13" s="13" t="str">
        <f ca="1" t="shared" si="1"/>
        <v/>
      </c>
      <c r="F13" s="13" t="str">
        <f ca="1" t="shared" si="1"/>
        <v/>
      </c>
      <c r="G13" s="13">
        <f ca="1" t="shared" si="1"/>
        <v>43678</v>
      </c>
      <c r="H13" s="13">
        <f ca="1" t="shared" si="1"/>
        <v>43679</v>
      </c>
      <c r="I13" s="13">
        <f ca="1" t="shared" si="1"/>
        <v>43680</v>
      </c>
      <c r="J13" s="13">
        <f ca="1" t="shared" si="2"/>
        <v>43681</v>
      </c>
      <c r="K13" s="13">
        <f ca="1" t="shared" si="3"/>
        <v>43682</v>
      </c>
      <c r="L13" s="13">
        <f ca="1" t="shared" si="4"/>
        <v>43683</v>
      </c>
      <c r="M13" s="13">
        <f ca="1" t="shared" si="5"/>
        <v>43684</v>
      </c>
      <c r="N13" s="13">
        <f ca="1" t="shared" si="6"/>
        <v>43685</v>
      </c>
      <c r="O13" s="13">
        <f ca="1" t="shared" si="7"/>
        <v>43686</v>
      </c>
      <c r="P13" s="13">
        <f ca="1" t="shared" si="8"/>
        <v>43687</v>
      </c>
      <c r="Q13" s="13">
        <f ca="1" t="shared" si="9"/>
        <v>43688</v>
      </c>
      <c r="R13" s="13">
        <f ca="1" t="shared" si="10"/>
        <v>43689</v>
      </c>
      <c r="S13" s="13">
        <f ca="1" t="shared" si="11"/>
        <v>43690</v>
      </c>
      <c r="T13" s="13">
        <f ca="1" t="shared" si="12"/>
        <v>43691</v>
      </c>
      <c r="U13" s="13">
        <f ca="1" t="shared" si="13"/>
        <v>43692</v>
      </c>
      <c r="V13" s="13">
        <f ca="1" t="shared" si="14"/>
        <v>43693</v>
      </c>
      <c r="W13" s="13">
        <f ca="1" t="shared" si="15"/>
        <v>43694</v>
      </c>
      <c r="X13" s="13">
        <f ca="1" t="shared" si="16"/>
        <v>43695</v>
      </c>
      <c r="Y13" s="13">
        <f ca="1" t="shared" si="17"/>
        <v>43696</v>
      </c>
      <c r="Z13" s="13">
        <f ca="1" t="shared" si="18"/>
        <v>43697</v>
      </c>
      <c r="AA13" s="13">
        <f ca="1" t="shared" si="19"/>
        <v>43698</v>
      </c>
      <c r="AB13" s="13">
        <f ca="1" t="shared" si="20"/>
        <v>43699</v>
      </c>
      <c r="AC13" s="13">
        <f ca="1" t="shared" si="21"/>
        <v>43700</v>
      </c>
      <c r="AD13" s="13">
        <f ca="1" t="shared" si="22"/>
        <v>43701</v>
      </c>
      <c r="AE13" s="13">
        <f ca="1" t="shared" si="23"/>
        <v>43702</v>
      </c>
      <c r="AF13" s="13">
        <f ca="1" t="shared" si="24"/>
        <v>43703</v>
      </c>
      <c r="AG13" s="13">
        <f ca="1" t="shared" si="25"/>
        <v>43704</v>
      </c>
      <c r="AH13" s="13">
        <f ca="1" t="shared" si="26"/>
        <v>43705</v>
      </c>
      <c r="AI13" s="13">
        <f ca="1" t="shared" si="27"/>
        <v>43706</v>
      </c>
      <c r="AJ13" s="13">
        <f ca="1" t="shared" si="28"/>
        <v>43707</v>
      </c>
      <c r="AK13" s="13">
        <f ca="1" t="shared" si="29"/>
        <v>43708</v>
      </c>
      <c r="AL13" s="13" t="str">
        <f ca="1" t="shared" si="30"/>
        <v/>
      </c>
      <c r="AM13" s="13" t="str">
        <f ca="1" t="shared" si="30"/>
        <v/>
      </c>
      <c r="AN13" s="13" t="str">
        <f ca="1" t="shared" si="30"/>
        <v/>
      </c>
      <c r="AO13" s="13" t="str">
        <f ca="1" t="shared" si="30"/>
        <v/>
      </c>
      <c r="AP13" s="13" t="str">
        <f ca="1" t="shared" si="30"/>
        <v/>
      </c>
      <c r="AQ13" s="13" t="str">
        <f ca="1" t="shared" si="30"/>
        <v/>
      </c>
      <c r="AR13" s="13" t="str">
        <f ca="1" t="shared" si="30"/>
        <v/>
      </c>
    </row>
    <row r="14" ht="18.75" customHeight="1" spans="2:44">
      <c r="B14" s="12" t="s">
        <v>56</v>
      </c>
      <c r="C14" s="13">
        <f ca="1" t="shared" si="0"/>
        <v>43709</v>
      </c>
      <c r="D14" s="13">
        <f ca="1" t="shared" si="1"/>
        <v>43710</v>
      </c>
      <c r="E14" s="13">
        <f ca="1" t="shared" si="1"/>
        <v>43711</v>
      </c>
      <c r="F14" s="13">
        <f ca="1" t="shared" si="1"/>
        <v>43712</v>
      </c>
      <c r="G14" s="13">
        <f ca="1" t="shared" si="1"/>
        <v>43713</v>
      </c>
      <c r="H14" s="13">
        <f ca="1" t="shared" si="1"/>
        <v>43714</v>
      </c>
      <c r="I14" s="13">
        <f ca="1" t="shared" si="1"/>
        <v>43715</v>
      </c>
      <c r="J14" s="13">
        <f ca="1" t="shared" si="2"/>
        <v>43716</v>
      </c>
      <c r="K14" s="13">
        <f ca="1" t="shared" si="3"/>
        <v>43717</v>
      </c>
      <c r="L14" s="13">
        <f ca="1" t="shared" si="4"/>
        <v>43718</v>
      </c>
      <c r="M14" s="13">
        <f ca="1" t="shared" si="5"/>
        <v>43719</v>
      </c>
      <c r="N14" s="13">
        <f ca="1" t="shared" si="6"/>
        <v>43720</v>
      </c>
      <c r="O14" s="13">
        <f ca="1" t="shared" si="7"/>
        <v>43721</v>
      </c>
      <c r="P14" s="13">
        <f ca="1" t="shared" si="8"/>
        <v>43722</v>
      </c>
      <c r="Q14" s="13">
        <f ca="1" t="shared" si="9"/>
        <v>43723</v>
      </c>
      <c r="R14" s="13">
        <f ca="1" t="shared" si="10"/>
        <v>43724</v>
      </c>
      <c r="S14" s="13">
        <f ca="1" t="shared" si="11"/>
        <v>43725</v>
      </c>
      <c r="T14" s="13">
        <f ca="1" t="shared" si="12"/>
        <v>43726</v>
      </c>
      <c r="U14" s="13">
        <f ca="1" t="shared" si="13"/>
        <v>43727</v>
      </c>
      <c r="V14" s="13">
        <f ca="1" t="shared" si="14"/>
        <v>43728</v>
      </c>
      <c r="W14" s="13">
        <f ca="1" t="shared" si="15"/>
        <v>43729</v>
      </c>
      <c r="X14" s="13">
        <f ca="1" t="shared" si="16"/>
        <v>43730</v>
      </c>
      <c r="Y14" s="13">
        <f ca="1" t="shared" si="17"/>
        <v>43731</v>
      </c>
      <c r="Z14" s="13">
        <f ca="1" t="shared" si="18"/>
        <v>43732</v>
      </c>
      <c r="AA14" s="13">
        <f ca="1" t="shared" si="19"/>
        <v>43733</v>
      </c>
      <c r="AB14" s="13">
        <f ca="1" t="shared" si="20"/>
        <v>43734</v>
      </c>
      <c r="AC14" s="13">
        <f ca="1" t="shared" si="21"/>
        <v>43735</v>
      </c>
      <c r="AD14" s="13">
        <f ca="1" t="shared" si="22"/>
        <v>43736</v>
      </c>
      <c r="AE14" s="13">
        <f ca="1" t="shared" si="23"/>
        <v>43737</v>
      </c>
      <c r="AF14" s="13">
        <f ca="1" t="shared" si="24"/>
        <v>43738</v>
      </c>
      <c r="AG14" s="13">
        <f ca="1" t="shared" si="25"/>
        <v>43739</v>
      </c>
      <c r="AH14" s="13">
        <f ca="1" t="shared" si="26"/>
        <v>43740</v>
      </c>
      <c r="AI14" s="13">
        <f ca="1" t="shared" si="27"/>
        <v>43741</v>
      </c>
      <c r="AJ14" s="13">
        <f ca="1" t="shared" si="28"/>
        <v>43742</v>
      </c>
      <c r="AK14" s="13">
        <f ca="1" t="shared" si="29"/>
        <v>43743</v>
      </c>
      <c r="AL14" s="13" t="str">
        <f ca="1" t="shared" si="30"/>
        <v/>
      </c>
      <c r="AM14" s="13" t="str">
        <f ca="1" t="shared" si="30"/>
        <v/>
      </c>
      <c r="AN14" s="13" t="str">
        <f ca="1" t="shared" si="30"/>
        <v/>
      </c>
      <c r="AO14" s="13" t="str">
        <f ca="1" t="shared" si="30"/>
        <v/>
      </c>
      <c r="AP14" s="13" t="str">
        <f ca="1" t="shared" si="30"/>
        <v/>
      </c>
      <c r="AQ14" s="13" t="str">
        <f ca="1" t="shared" si="30"/>
        <v/>
      </c>
      <c r="AR14" s="13" t="str">
        <f ca="1" t="shared" si="30"/>
        <v/>
      </c>
    </row>
    <row r="15" ht="18.75" customHeight="1" spans="2:44">
      <c r="B15" s="12" t="s">
        <v>57</v>
      </c>
      <c r="C15" s="13" t="str">
        <f ca="1" t="shared" si="0"/>
        <v/>
      </c>
      <c r="D15" s="13" t="str">
        <f ca="1" t="shared" si="1"/>
        <v/>
      </c>
      <c r="E15" s="13">
        <f ca="1" t="shared" si="1"/>
        <v>43739</v>
      </c>
      <c r="F15" s="13">
        <f ca="1" t="shared" si="1"/>
        <v>43740</v>
      </c>
      <c r="G15" s="13">
        <f ca="1" t="shared" si="1"/>
        <v>43741</v>
      </c>
      <c r="H15" s="13">
        <f ca="1" t="shared" si="1"/>
        <v>43742</v>
      </c>
      <c r="I15" s="13">
        <f ca="1" t="shared" si="1"/>
        <v>43743</v>
      </c>
      <c r="J15" s="13">
        <f ca="1" t="shared" si="2"/>
        <v>43744</v>
      </c>
      <c r="K15" s="13">
        <f ca="1" t="shared" si="3"/>
        <v>43745</v>
      </c>
      <c r="L15" s="13">
        <f ca="1" t="shared" si="4"/>
        <v>43746</v>
      </c>
      <c r="M15" s="13">
        <f ca="1" t="shared" si="5"/>
        <v>43747</v>
      </c>
      <c r="N15" s="13">
        <f ca="1" t="shared" si="6"/>
        <v>43748</v>
      </c>
      <c r="O15" s="13">
        <f ca="1" t="shared" si="7"/>
        <v>43749</v>
      </c>
      <c r="P15" s="13">
        <f ca="1" t="shared" si="8"/>
        <v>43750</v>
      </c>
      <c r="Q15" s="13">
        <f ca="1" t="shared" si="9"/>
        <v>43751</v>
      </c>
      <c r="R15" s="13">
        <f ca="1" t="shared" si="10"/>
        <v>43752</v>
      </c>
      <c r="S15" s="13">
        <f ca="1" t="shared" si="11"/>
        <v>43753</v>
      </c>
      <c r="T15" s="13">
        <f ca="1" t="shared" si="12"/>
        <v>43754</v>
      </c>
      <c r="U15" s="13">
        <f ca="1" t="shared" si="13"/>
        <v>43755</v>
      </c>
      <c r="V15" s="13">
        <f ca="1" t="shared" si="14"/>
        <v>43756</v>
      </c>
      <c r="W15" s="13">
        <f ca="1" t="shared" si="15"/>
        <v>43757</v>
      </c>
      <c r="X15" s="13">
        <f ca="1" t="shared" si="16"/>
        <v>43758</v>
      </c>
      <c r="Y15" s="13">
        <f ca="1" t="shared" si="17"/>
        <v>43759</v>
      </c>
      <c r="Z15" s="13">
        <f ca="1" t="shared" si="18"/>
        <v>43760</v>
      </c>
      <c r="AA15" s="13">
        <f ca="1" t="shared" si="19"/>
        <v>43761</v>
      </c>
      <c r="AB15" s="13">
        <f ca="1" t="shared" si="20"/>
        <v>43762</v>
      </c>
      <c r="AC15" s="13">
        <f ca="1" t="shared" si="21"/>
        <v>43763</v>
      </c>
      <c r="AD15" s="13">
        <f ca="1" t="shared" si="22"/>
        <v>43764</v>
      </c>
      <c r="AE15" s="13">
        <f ca="1" t="shared" si="23"/>
        <v>43765</v>
      </c>
      <c r="AF15" s="13">
        <f ca="1" t="shared" si="24"/>
        <v>43766</v>
      </c>
      <c r="AG15" s="13">
        <f ca="1" t="shared" si="25"/>
        <v>43767</v>
      </c>
      <c r="AH15" s="13">
        <f ca="1" t="shared" si="26"/>
        <v>43768</v>
      </c>
      <c r="AI15" s="13">
        <f ca="1" t="shared" si="27"/>
        <v>43769</v>
      </c>
      <c r="AJ15" s="13">
        <f ca="1" t="shared" si="28"/>
        <v>43770</v>
      </c>
      <c r="AK15" s="13">
        <f ca="1" t="shared" si="29"/>
        <v>43771</v>
      </c>
      <c r="AL15" s="13" t="str">
        <f ca="1" t="shared" si="30"/>
        <v/>
      </c>
      <c r="AM15" s="13" t="str">
        <f ca="1" t="shared" si="30"/>
        <v/>
      </c>
      <c r="AN15" s="13" t="str">
        <f ca="1" t="shared" si="30"/>
        <v/>
      </c>
      <c r="AO15" s="13" t="str">
        <f ca="1" t="shared" si="30"/>
        <v/>
      </c>
      <c r="AP15" s="13" t="str">
        <f ca="1" t="shared" si="30"/>
        <v/>
      </c>
      <c r="AQ15" s="13" t="str">
        <f ca="1" t="shared" si="30"/>
        <v/>
      </c>
      <c r="AR15" s="13" t="str">
        <f ca="1" t="shared" si="30"/>
        <v/>
      </c>
    </row>
    <row r="16" ht="18.75" customHeight="1" spans="2:44">
      <c r="B16" s="12" t="s">
        <v>58</v>
      </c>
      <c r="C16" s="13" t="str">
        <f ca="1" t="shared" si="0"/>
        <v/>
      </c>
      <c r="D16" s="13" t="str">
        <f ca="1" t="shared" si="1"/>
        <v/>
      </c>
      <c r="E16" s="13" t="str">
        <f ca="1" t="shared" si="1"/>
        <v/>
      </c>
      <c r="F16" s="13" t="str">
        <f ca="1" t="shared" si="1"/>
        <v/>
      </c>
      <c r="G16" s="13" t="str">
        <f ca="1" t="shared" si="1"/>
        <v/>
      </c>
      <c r="H16" s="13">
        <f ca="1" t="shared" si="1"/>
        <v>43770</v>
      </c>
      <c r="I16" s="13">
        <f ca="1" t="shared" si="1"/>
        <v>43771</v>
      </c>
      <c r="J16" s="13">
        <f ca="1" t="shared" si="2"/>
        <v>43772</v>
      </c>
      <c r="K16" s="13">
        <f ca="1" t="shared" si="3"/>
        <v>43773</v>
      </c>
      <c r="L16" s="13">
        <f ca="1" t="shared" si="4"/>
        <v>43774</v>
      </c>
      <c r="M16" s="13">
        <f ca="1" t="shared" si="5"/>
        <v>43775</v>
      </c>
      <c r="N16" s="13">
        <f ca="1" t="shared" si="6"/>
        <v>43776</v>
      </c>
      <c r="O16" s="13">
        <f ca="1" t="shared" si="7"/>
        <v>43777</v>
      </c>
      <c r="P16" s="13">
        <f ca="1" t="shared" si="8"/>
        <v>43778</v>
      </c>
      <c r="Q16" s="13">
        <f ca="1" t="shared" si="9"/>
        <v>43779</v>
      </c>
      <c r="R16" s="13">
        <f ca="1" t="shared" si="10"/>
        <v>43780</v>
      </c>
      <c r="S16" s="13">
        <f ca="1" t="shared" si="11"/>
        <v>43781</v>
      </c>
      <c r="T16" s="13">
        <f ca="1" t="shared" si="12"/>
        <v>43782</v>
      </c>
      <c r="U16" s="13">
        <f ca="1" t="shared" si="13"/>
        <v>43783</v>
      </c>
      <c r="V16" s="13">
        <f ca="1" t="shared" si="14"/>
        <v>43784</v>
      </c>
      <c r="W16" s="13">
        <f ca="1" t="shared" si="15"/>
        <v>43785</v>
      </c>
      <c r="X16" s="13">
        <f ca="1" t="shared" si="16"/>
        <v>43786</v>
      </c>
      <c r="Y16" s="13">
        <f ca="1" t="shared" si="17"/>
        <v>43787</v>
      </c>
      <c r="Z16" s="13">
        <f ca="1" t="shared" si="18"/>
        <v>43788</v>
      </c>
      <c r="AA16" s="13">
        <f ca="1" t="shared" si="19"/>
        <v>43789</v>
      </c>
      <c r="AB16" s="13">
        <f ca="1" t="shared" si="20"/>
        <v>43790</v>
      </c>
      <c r="AC16" s="13">
        <f ca="1" t="shared" si="21"/>
        <v>43791</v>
      </c>
      <c r="AD16" s="13">
        <f ca="1" t="shared" si="22"/>
        <v>43792</v>
      </c>
      <c r="AE16" s="13">
        <f ca="1" t="shared" si="23"/>
        <v>43793</v>
      </c>
      <c r="AF16" s="13">
        <f ca="1" t="shared" si="24"/>
        <v>43794</v>
      </c>
      <c r="AG16" s="13">
        <f ca="1" t="shared" si="25"/>
        <v>43795</v>
      </c>
      <c r="AH16" s="13">
        <f ca="1" t="shared" si="26"/>
        <v>43796</v>
      </c>
      <c r="AI16" s="13">
        <f ca="1" t="shared" si="27"/>
        <v>43797</v>
      </c>
      <c r="AJ16" s="13">
        <f ca="1" t="shared" si="28"/>
        <v>43798</v>
      </c>
      <c r="AK16" s="13">
        <f ca="1" t="shared" si="29"/>
        <v>43799</v>
      </c>
      <c r="AL16" s="13" t="str">
        <f ca="1" t="shared" si="30"/>
        <v/>
      </c>
      <c r="AM16" s="13" t="str">
        <f ca="1" t="shared" si="30"/>
        <v/>
      </c>
      <c r="AN16" s="13" t="str">
        <f ca="1" t="shared" si="30"/>
        <v/>
      </c>
      <c r="AO16" s="13" t="str">
        <f ca="1" t="shared" si="30"/>
        <v/>
      </c>
      <c r="AP16" s="13" t="str">
        <f ca="1" t="shared" si="30"/>
        <v/>
      </c>
      <c r="AQ16" s="13" t="str">
        <f ca="1" t="shared" si="30"/>
        <v/>
      </c>
      <c r="AR16" s="13" t="str">
        <f ca="1" t="shared" si="30"/>
        <v/>
      </c>
    </row>
    <row r="17" ht="18.75" customHeight="1" spans="2:44">
      <c r="B17" s="12" t="s">
        <v>59</v>
      </c>
      <c r="C17" s="13">
        <f ca="1">IFERROR(IF(TEXT(DATE(Calendar_Year,ROW($A12),1),"aaa")=LEFT(C$5,3),DATE(Calendar_Year,ROW($A12),1),""),"")</f>
        <v>43800</v>
      </c>
      <c r="D17" s="13">
        <f ca="1" t="shared" ref="D17:I17" si="31">IFERROR(IF(TEXT(DATE(Calendar_Year,ROW($A12),1),"aaa")=LEFT(D$5,3),DATE(Calendar_Year,ROW($A12),1),IF(C17&gt;=1,C17+1,"")),"")</f>
        <v>43801</v>
      </c>
      <c r="E17" s="13">
        <f ca="1" t="shared" si="31"/>
        <v>43802</v>
      </c>
      <c r="F17" s="13">
        <f ca="1" t="shared" si="31"/>
        <v>43803</v>
      </c>
      <c r="G17" s="13">
        <f ca="1" t="shared" si="31"/>
        <v>43804</v>
      </c>
      <c r="H17" s="13">
        <f ca="1" t="shared" si="31"/>
        <v>43805</v>
      </c>
      <c r="I17" s="13">
        <f ca="1" t="shared" si="31"/>
        <v>43806</v>
      </c>
      <c r="J17" s="13">
        <f ca="1" t="shared" si="2"/>
        <v>43807</v>
      </c>
      <c r="K17" s="13">
        <f ca="1" t="shared" si="3"/>
        <v>43808</v>
      </c>
      <c r="L17" s="13">
        <f ca="1" t="shared" si="4"/>
        <v>43809</v>
      </c>
      <c r="M17" s="13">
        <f ca="1" t="shared" si="5"/>
        <v>43810</v>
      </c>
      <c r="N17" s="13">
        <f ca="1" t="shared" si="6"/>
        <v>43811</v>
      </c>
      <c r="O17" s="13">
        <f ca="1" t="shared" si="7"/>
        <v>43812</v>
      </c>
      <c r="P17" s="13">
        <f ca="1" t="shared" si="8"/>
        <v>43813</v>
      </c>
      <c r="Q17" s="13">
        <f ca="1" t="shared" si="9"/>
        <v>43814</v>
      </c>
      <c r="R17" s="13">
        <f ca="1" t="shared" si="10"/>
        <v>43815</v>
      </c>
      <c r="S17" s="13">
        <f ca="1" t="shared" si="11"/>
        <v>43816</v>
      </c>
      <c r="T17" s="13">
        <f ca="1" t="shared" si="12"/>
        <v>43817</v>
      </c>
      <c r="U17" s="13">
        <f ca="1" t="shared" si="13"/>
        <v>43818</v>
      </c>
      <c r="V17" s="13">
        <f ca="1" t="shared" si="14"/>
        <v>43819</v>
      </c>
      <c r="W17" s="13">
        <f ca="1" t="shared" si="15"/>
        <v>43820</v>
      </c>
      <c r="X17" s="13">
        <f ca="1" t="shared" si="16"/>
        <v>43821</v>
      </c>
      <c r="Y17" s="13">
        <f ca="1" t="shared" si="17"/>
        <v>43822</v>
      </c>
      <c r="Z17" s="13">
        <f ca="1" t="shared" si="18"/>
        <v>43823</v>
      </c>
      <c r="AA17" s="13">
        <f ca="1" t="shared" si="19"/>
        <v>43824</v>
      </c>
      <c r="AB17" s="13">
        <f ca="1" t="shared" si="20"/>
        <v>43825</v>
      </c>
      <c r="AC17" s="13">
        <f ca="1" t="shared" si="21"/>
        <v>43826</v>
      </c>
      <c r="AD17" s="13">
        <f ca="1" t="shared" si="22"/>
        <v>43827</v>
      </c>
      <c r="AE17" s="13">
        <f ca="1" t="shared" si="23"/>
        <v>43828</v>
      </c>
      <c r="AF17" s="13">
        <f ca="1" t="shared" si="24"/>
        <v>43829</v>
      </c>
      <c r="AG17" s="13">
        <f ca="1" t="shared" si="25"/>
        <v>43830</v>
      </c>
      <c r="AH17" s="13">
        <f ca="1" t="shared" si="26"/>
        <v>43831</v>
      </c>
      <c r="AI17" s="13">
        <f ca="1" t="shared" si="27"/>
        <v>43832</v>
      </c>
      <c r="AJ17" s="13">
        <f ca="1" t="shared" si="28"/>
        <v>43833</v>
      </c>
      <c r="AK17" s="13">
        <f ca="1" t="shared" si="29"/>
        <v>43834</v>
      </c>
      <c r="AL17" s="13" t="str">
        <f ca="1" t="shared" ref="AL17:AR17" si="32">IFERROR(IF(AND(AK17&gt;=1,AK17+1&lt;=DATE(Calendar_Year,ROW($A12)+1,0)),AK17+1,""),"")</f>
        <v/>
      </c>
      <c r="AM17" s="13" t="str">
        <f ca="1" t="shared" si="32"/>
        <v/>
      </c>
      <c r="AN17" s="13" t="str">
        <f ca="1" t="shared" si="32"/>
        <v/>
      </c>
      <c r="AO17" s="13" t="str">
        <f ca="1" t="shared" si="32"/>
        <v/>
      </c>
      <c r="AP17" s="13" t="str">
        <f ca="1" t="shared" si="32"/>
        <v/>
      </c>
      <c r="AQ17" s="13" t="str">
        <f ca="1" t="shared" si="32"/>
        <v/>
      </c>
      <c r="AR17" s="13" t="str">
        <f ca="1" t="shared" si="32"/>
        <v/>
      </c>
    </row>
    <row r="18" ht="39.95" customHeight="1" spans="2:15">
      <c r="B18" s="14" t="s">
        <v>60</v>
      </c>
      <c r="C18" s="15"/>
      <c r="D18" s="15"/>
      <c r="E18" s="15"/>
      <c r="F18" s="15"/>
      <c r="G18" s="16"/>
      <c r="H18" s="16"/>
      <c r="I18" s="16"/>
      <c r="J18" s="16"/>
      <c r="K18" s="16"/>
      <c r="L18" s="16"/>
      <c r="M18" s="16"/>
      <c r="N18" s="16"/>
      <c r="O18" s="16"/>
    </row>
    <row r="19" ht="27.95" customHeight="1" spans="3:32">
      <c r="C19" s="17" t="s">
        <v>61</v>
      </c>
      <c r="D19" s="17"/>
      <c r="E19" s="17"/>
      <c r="F19" s="18"/>
      <c r="G19" s="19"/>
      <c r="H19" s="20" t="s">
        <v>62</v>
      </c>
      <c r="I19" s="20"/>
      <c r="J19" s="20"/>
      <c r="K19" s="20"/>
      <c r="L19" s="18"/>
      <c r="M19" s="27"/>
      <c r="N19" s="20" t="s">
        <v>63</v>
      </c>
      <c r="O19" s="20"/>
      <c r="P19" s="20"/>
      <c r="Q19" s="18"/>
      <c r="S19" s="17" t="s">
        <v>64</v>
      </c>
      <c r="T19" s="17"/>
      <c r="U19" s="17"/>
      <c r="V19" s="18"/>
      <c r="W19" s="19"/>
      <c r="X19" s="17" t="s">
        <v>65</v>
      </c>
      <c r="Y19" s="17"/>
      <c r="Z19" s="17"/>
      <c r="AA19" s="18"/>
      <c r="AB19" s="19"/>
      <c r="AC19" s="17" t="s">
        <v>66</v>
      </c>
      <c r="AD19" s="17"/>
      <c r="AE19" s="17"/>
      <c r="AF19" s="33"/>
    </row>
    <row r="20" ht="54.95" customHeight="1" spans="3:31">
      <c r="C20" s="21">
        <f ca="1">SUMIFS(LeaveTracker[天数],LeaveTracker[员工姓名],valSelEmployee,LeaveTracker[开始日期],"&gt;="&amp;DATE(Calendar_Year,1,1),LeaveTracker[结束日期],"&lt;"&amp;DATE(Calendar_Year+1,1,1))</f>
        <v>16</v>
      </c>
      <c r="D20" s="21"/>
      <c r="E20" s="21"/>
      <c r="F20" s="18"/>
      <c r="H20" s="21">
        <f ca="1">NETWORKDAYS(DATE(Calendar_Year,1,1),EDATE(DATE(Calendar_Year,1,1),12)-1)</f>
        <v>261</v>
      </c>
      <c r="I20" s="21"/>
      <c r="J20" s="21"/>
      <c r="K20" s="21"/>
      <c r="L20" s="18"/>
      <c r="N20" s="28">
        <f ca="1">SUMIFS(LeaveTracker[天数],LeaveTracker[员工姓名],valSelEmployee,LeaveTracker[开始日期],"&gt;="&amp;DATE(Calendar_Year,1,1),LeaveTracker[结束日期],"&lt;"&amp;DATE(Calendar_Year+1,1,1),LeaveTracker[休假类型],休假类型!B4)</f>
        <v>4</v>
      </c>
      <c r="O20" s="28"/>
      <c r="P20" s="28"/>
      <c r="Q20" s="18"/>
      <c r="S20" s="30">
        <f ca="1">SUMIFS(LeaveTracker[天数],LeaveTracker[员工姓名],valSelEmployee,LeaveTracker[开始日期],"&gt;="&amp;DATE(Calendar_Year,1,1),LeaveTracker[结束日期],"&lt;"&amp;DATE(Calendar_Year+1,1,1),LeaveTracker[休假类型],休假类型!B5)</f>
        <v>7</v>
      </c>
      <c r="T20" s="30"/>
      <c r="U20" s="30"/>
      <c r="V20" s="18"/>
      <c r="X20" s="31">
        <f ca="1">SUMIFS(LeaveTracker[天数],LeaveTracker[员工姓名],valSelEmployee,LeaveTracker[开始日期],"&gt;="&amp;DATE(Calendar_Year,1,1),LeaveTracker[结束日期],"&lt;"&amp;DATE(Calendar_Year+1,1,1),LeaveTracker[休假类型],休假类型!B6)</f>
        <v>5</v>
      </c>
      <c r="Y20" s="31"/>
      <c r="Z20" s="31"/>
      <c r="AA20" s="18"/>
      <c r="AC20" s="34">
        <f ca="1">SUMIFS(LeaveTracker[天数],LeaveTracker[员工姓名],valSelEmployee,LeaveTracker[开始日期],"&gt;="&amp;DATE(Calendar_Year,1,1),LeaveTracker[结束日期],"&lt;"&amp;DATE(Calendar_Year+1,1,1),LeaveTracker[休假类型],休假类型!B7)</f>
        <v>0</v>
      </c>
      <c r="AD20" s="34"/>
      <c r="AE20" s="34"/>
    </row>
    <row r="21" ht="21.95" customHeight="1" spans="3:32">
      <c r="C21" s="22">
        <f ca="1">SUMIFS(LeaveTracker[天数],LeaveTracker[员工姓名],valSelEmployee,LeaveTracker[开始日期],"&gt;="&amp;DATE(Calendar_Year-1,1,1),LeaveTracker[结束日期],"&lt;"&amp;DATE(Calendar_Year,1,1))</f>
        <v>10</v>
      </c>
      <c r="D21" s="22"/>
      <c r="E21" s="22"/>
      <c r="F21" s="18"/>
      <c r="G21" s="23"/>
      <c r="H21" s="22">
        <f ca="1">NETWORKDAYS(DATE(Calendar_Year-1,1,1),EDATE(DATE(Calendar_Year-1,1,1),12)-1)</f>
        <v>261</v>
      </c>
      <c r="I21" s="22"/>
      <c r="J21" s="22"/>
      <c r="K21" s="22"/>
      <c r="L21" s="18"/>
      <c r="M21" s="29"/>
      <c r="N21" s="22">
        <f ca="1">SUMIFS(LeaveTracker[天数],LeaveTracker[员工姓名],valSelEmployee,LeaveTracker[开始日期],"&gt;="&amp;DATE(Calendar_Year-1,1,1),LeaveTracker[结束日期],"&lt;"&amp;DATE(Calendar_Year,1,1),LeaveTracker[休假类型],休假类型!B4)</f>
        <v>0</v>
      </c>
      <c r="O21" s="22"/>
      <c r="P21" s="22"/>
      <c r="Q21" s="18"/>
      <c r="R21" s="29"/>
      <c r="S21" s="22">
        <f ca="1">SUMIFS(LeaveTracker[天数],LeaveTracker[员工姓名],valSelEmployee,LeaveTracker[开始日期],"&gt;="&amp;DATE(Calendar_Year-1,1,1),LeaveTracker[结束日期],"&lt;"&amp;DATE(Calendar_Year,1,1),LeaveTracker[休假类型],休假类型!B5)</f>
        <v>5</v>
      </c>
      <c r="T21" s="22"/>
      <c r="U21" s="22"/>
      <c r="V21" s="18"/>
      <c r="W21" s="29"/>
      <c r="X21" s="22">
        <f ca="1">SUMIFS(LeaveTracker[天数],LeaveTracker[员工姓名],valSelEmployee,LeaveTracker[开始日期],"&gt;="&amp;DATE(Calendar_Year-1,1,1),LeaveTracker[结束日期],"&lt;"&amp;DATE(Calendar_Year,1,1),LeaveTracker[休假类型],休假类型!B6)</f>
        <v>5</v>
      </c>
      <c r="Y21" s="22"/>
      <c r="Z21" s="22"/>
      <c r="AA21" s="18"/>
      <c r="AB21" s="29"/>
      <c r="AC21" s="22">
        <f ca="1">SUMIFS(LeaveTracker[天数],LeaveTracker[员工姓名],valSelEmployee,LeaveTracker[开始日期],"&gt;="&amp;DATE(Calendar_Year-1,1,1),LeaveTracker[结束日期],"&lt;"&amp;DATE(Calendar_Year,1,1),LeaveTracker[休假类型],休假类型!B7)</f>
        <v>0</v>
      </c>
      <c r="AD21" s="22"/>
      <c r="AE21" s="22"/>
      <c r="AF21" s="35"/>
    </row>
    <row r="22" ht="21.95" customHeight="1" spans="3:31">
      <c r="C22" s="24" t="str">
        <f ca="1">IFERROR(IF(C21&lt;&gt;0,IF(C20&gt;=C21,"增加 ","减少 ")&amp;TEXT(C20/C21-1,"0%;0%"),"增加 100%"),"")</f>
        <v>增加 60%</v>
      </c>
      <c r="D22" s="24"/>
      <c r="E22" s="24"/>
      <c r="F22" s="18"/>
      <c r="G22" s="23"/>
      <c r="H22" s="25" t="str">
        <f ca="1">IFERROR(IF(H21&lt;&gt;0,IF(H20&gt;=H21,"增加 ","减少 ")&amp;TEXT(H20/H21-1,"0%;0%"),"增加 100%"),"")</f>
        <v>增加 0%</v>
      </c>
      <c r="I22" s="25"/>
      <c r="J22" s="25"/>
      <c r="K22" s="25"/>
      <c r="L22" s="18"/>
      <c r="M22" s="29"/>
      <c r="N22" s="24" t="str">
        <f ca="1">IFERROR(IF(N21&lt;&gt;0,IF(N20&gt;=N21,"增加 ","减少 ")&amp;TEXT(N20/N21-1,"0%;0%"),"增加 100%"),"")</f>
        <v>增加 100%</v>
      </c>
      <c r="O22" s="24"/>
      <c r="P22" s="24"/>
      <c r="Q22" s="18"/>
      <c r="R22" s="29"/>
      <c r="S22" s="24" t="str">
        <f ca="1">IFERROR(IF(S21&lt;&gt;0,IF(S20&gt;=S21,"增加 ","减少 ")&amp;TEXT(S20/S21-1,"0%;0%"),"增加 100%"),"")</f>
        <v>增加 40%</v>
      </c>
      <c r="T22" s="24"/>
      <c r="U22" s="24"/>
      <c r="V22" s="18"/>
      <c r="W22" s="29"/>
      <c r="X22" s="24" t="str">
        <f ca="1">IFERROR(IF(X21&lt;&gt;0,IF(X20&gt;=X21,"增加 ","减少 ")&amp;TEXT(X20/X21-1,"0%;0%"),"增加 100%"),"")</f>
        <v>增加 0%</v>
      </c>
      <c r="Y22" s="24"/>
      <c r="Z22" s="24"/>
      <c r="AA22" s="18"/>
      <c r="AB22" s="29"/>
      <c r="AC22" s="24" t="str">
        <f ca="1">IFERROR(IF(AC21&lt;&gt;0,IF(AC20&gt;=AC21,"增加 ","减少 ")&amp;TEXT(AC20/AC21-1,"0%;0%"),"增加 100%"),"")</f>
        <v>增加 100%</v>
      </c>
      <c r="AD22" s="24"/>
      <c r="AE22" s="24"/>
    </row>
  </sheetData>
  <mergeCells count="26">
    <mergeCell ref="C2:I2"/>
    <mergeCell ref="C3:I3"/>
    <mergeCell ref="C19:E19"/>
    <mergeCell ref="H19:K19"/>
    <mergeCell ref="N19:P19"/>
    <mergeCell ref="S19:U19"/>
    <mergeCell ref="X19:Z19"/>
    <mergeCell ref="AC19:AE19"/>
    <mergeCell ref="C20:E20"/>
    <mergeCell ref="H20:K20"/>
    <mergeCell ref="N20:P20"/>
    <mergeCell ref="S20:U20"/>
    <mergeCell ref="X20:Z20"/>
    <mergeCell ref="AC20:AE20"/>
    <mergeCell ref="C21:E21"/>
    <mergeCell ref="H21:K21"/>
    <mergeCell ref="N21:P21"/>
    <mergeCell ref="S21:U21"/>
    <mergeCell ref="X21:Z21"/>
    <mergeCell ref="AC21:AE21"/>
    <mergeCell ref="C22:E22"/>
    <mergeCell ref="H22:K22"/>
    <mergeCell ref="N22:P22"/>
    <mergeCell ref="S22:U22"/>
    <mergeCell ref="X22:Z22"/>
    <mergeCell ref="AC22:AE22"/>
  </mergeCells>
  <conditionalFormatting sqref="C22:AE22">
    <cfRule type="beginsWith" dxfId="43" priority="4" operator="equal" text="增加">
      <formula>LEFT(C22,LEN("增加"))="增加"</formula>
    </cfRule>
  </conditionalFormatting>
  <conditionalFormatting sqref="C6:AR17">
    <cfRule type="expression" dxfId="44" priority="1">
      <formula>MONTH(C6)&lt;&gt;MONTH($B6)</formula>
    </cfRule>
    <cfRule type="expression" dxfId="45" priority="17">
      <formula>OR(LEFT(C$5,1)="日",COUNTIF(lstHolidays,C6)&gt;0)</formula>
    </cfRule>
    <cfRule type="expression" dxfId="45" priority="18">
      <formula>OR(LEFT(C$5,1)="六",COUNTIF(lstHolidays,C6)&gt;0)</formula>
    </cfRule>
    <cfRule type="expression" dxfId="46" priority="8">
      <formula>COUNTIFS(lstEmpNames,valSelEmployee,lstSdates,"&lt;="&amp;C6,lstEDates,"&gt;="&amp;C6,lstHTypes,休假类型!$B$4)&gt;0</formula>
    </cfRule>
    <cfRule type="expression" dxfId="47" priority="9">
      <formula>COUNTIFS(lstEmpNames,valSelEmployee,lstSdates,"&lt;="&amp;C6,lstEDates,"&gt;="&amp;C6,lstHTypes,休假类型!$B$5)&gt;0</formula>
    </cfRule>
    <cfRule type="expression" dxfId="48" priority="10">
      <formula>COUNTIFS(lstEmpNames,valSelEmployee,lstSdates,"&lt;="&amp;C6,lstEDates,"&gt;="&amp;C6,lstHTypes,休假类型!$B$6)&gt;0</formula>
    </cfRule>
    <cfRule type="expression" dxfId="49" priority="11">
      <formula>COUNTIFS(lstEmpNames,valSelEmployee,lstSdates,"&lt;="&amp;C6,lstEDates,"&gt;="&amp;C6,lstHTypes,休假类型!$B$7)&gt;0</formula>
    </cfRule>
  </conditionalFormatting>
  <dataValidations count="16">
    <dataValidation allowBlank="1" showInputMessage="1" showErrorMessage="1" prompt="此列左侧是日期所属的月份，而此单元格表明该日期是星期几。仅填充每月的相关日期。将根据表格下面的图例突出显示休假" sqref="C5"/>
    <dataValidation allowBlank="1" showInputMessage="1" showErrorMessage="1" prompt="在右侧的 AM3 单元格中输入年份" sqref="J3"/>
    <dataValidation allowBlank="1" showInputMessage="1" showErrorMessage="1" prompt="在此工作簿中查看员工年度考勤。在此工作表中选择员工和年份，了解总体情况" sqref="A1"/>
    <dataValidation allowBlank="1" showInputMessage="1" showErrorMessage="1" prompt="在此单元格中输入年份" sqref="C3:I3"/>
    <dataValidation allowBlank="1" showInputMessage="1" showErrorMessage="1" prompt="在右侧单元格中输入年份" sqref="B3"/>
    <dataValidation allowBlank="1" showInputMessage="1" showErrorMessage="1" prompt="此单元格中是工作表标题" sqref="B1"/>
    <dataValidation allowBlank="1" showInputMessage="1" showErrorMessage="1" prompt="从右侧的单元格中选择员工" sqref="B2"/>
    <dataValidation allowBlank="1" showInputMessage="1" showErrorMessage="1" prompt="所选员工和年份的“考勤记录”表将根据“员工休假跟踪表”工作表中的条目自动更新。此列为一年中的月份" sqref="B5"/>
    <dataValidation allowBlank="1" showInputMessage="1" showErrorMessage="1" prompt="B 列显示日期所属的月份，此列中的此标题表明该日期是星期几。单元格突出显示表示休假" sqref="D5:AR5"/>
    <dataValidation type="list" allowBlank="1" showInputMessage="1" showErrorMessage="1" error="从列表中选择员工姓名。选择“取消”，按 Alt+向下键，然后按 Enter 进行选择 " prompt="在此单元格中选择员工姓名。按 Alt+向下键打开下拉列表，然后按 Enter 进行选择" sqref="C2:I2">
      <formula1>lstEmployees</formula1>
    </dataValidation>
    <dataValidation allowBlank="1" showInputMessage="1" showErrorMessage="1" prompt="在右侧的 AM2 单元格中选择某个员工的姓名" sqref="J2"/>
    <dataValidation allowBlank="1" showInputMessage="1" showErrorMessage="1" prompt="此单元格中是主要统计信息标题。在第 19 行到第 22 行之间导航，查看总休假天数、工作天数和其他假期的相关统计信息" sqref="B18"/>
    <dataValidation allowBlank="1" showInputMessage="1" showErrorMessage="1" prompt="此行中右侧各单元格内是每项主要统计信息的净变化" sqref="B22"/>
    <dataValidation allowBlank="1" showInputMessage="1" showErrorMessage="1" prompt="此行中右侧各单元格自动填充主要统计信息标题" sqref="B19"/>
    <dataValidation allowBlank="1" showInputMessage="1" showErrorMessage="1" prompt="此行中右侧各单元格自动计算主要统计信息值" sqref="B20"/>
    <dataValidation allowBlank="1" showInputMessage="1" showErrorMessage="1" prompt="此行中右侧各单元格自动得出与去年的主要统计信息的比较结果" sqref="B21"/>
  </dataValidations>
  <printOptions horizontalCentered="1"/>
  <pageMargins left="0.25" right="0.25" top="0.75" bottom="0.75" header="0.3" footer="0.3"/>
  <pageSetup paperSize="9" scale="63" fitToHeight="0" orientation="landscape"/>
  <headerFooter differentFirst="1">
    <oddFooter>&amp;CPage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name="Button 3" r:id="rId3">
              <controlPr print="0" defaultSize="0">
                <anchor moveWithCells="1" sizeWithCells="1">
                  <from>
                    <xdr:col>13</xdr:col>
                    <xdr:colOff>95250</xdr:colOff>
                    <xdr:row>1</xdr:row>
                    <xdr:rowOff>142875</xdr:rowOff>
                  </from>
                  <to>
                    <xdr:col>17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5" tint="-0.499984740745262"/>
    <pageSetUpPr fitToPage="1" autoPageBreaks="0"/>
  </sheetPr>
  <dimension ref="B1:F26"/>
  <sheetViews>
    <sheetView showGridLines="0" topLeftCell="A728" workbookViewId="0">
      <selection activeCell="D4" sqref="D4"/>
    </sheetView>
  </sheetViews>
  <sheetFormatPr defaultColWidth="9" defaultRowHeight="30" customHeight="1" outlineLevelCol="5"/>
  <cols>
    <col min="1" max="1" width="2.77777777777778" style="1" customWidth="1"/>
    <col min="2" max="2" width="25.7777777777778" style="1" customWidth="1"/>
    <col min="3" max="4" width="17.4444444444444" style="1" customWidth="1"/>
    <col min="5" max="5" width="18.5555555555556" style="1" customWidth="1"/>
    <col min="6" max="6" width="12.4444444444444" style="1" customWidth="1"/>
    <col min="7" max="7" width="2.77777777777778" style="1" customWidth="1"/>
    <col min="8" max="16384" width="8.88888888888889" style="1"/>
  </cols>
  <sheetData>
    <row r="1" ht="39.95" customHeight="1" spans="2:2">
      <c r="B1" s="2" t="s">
        <v>67</v>
      </c>
    </row>
    <row r="2" ht="15" customHeight="1"/>
    <row r="3" customHeight="1" spans="2:6">
      <c r="B3" s="3" t="s">
        <v>68</v>
      </c>
      <c r="C3" s="3" t="s">
        <v>69</v>
      </c>
      <c r="D3" s="3" t="s">
        <v>70</v>
      </c>
      <c r="E3" s="3" t="s">
        <v>71</v>
      </c>
      <c r="F3" s="3" t="s">
        <v>72</v>
      </c>
    </row>
    <row r="4" customHeight="1" spans="2:6">
      <c r="B4" s="5" t="s">
        <v>73</v>
      </c>
      <c r="C4" s="4">
        <f ca="1">DATE(YEAR(TODAY()),1,3)</f>
        <v>43468</v>
      </c>
      <c r="D4" s="4">
        <f ca="1">DATE(YEAR(TODAY()),1,3)</f>
        <v>43468</v>
      </c>
      <c r="E4" s="5" t="s">
        <v>74</v>
      </c>
      <c r="F4" s="6">
        <f ca="1">NETWORKDAYS(LeaveTracker[[#This Row],[开始日期]],LeaveTracker[[#This Row],[结束日期]],lstHolidays)</f>
        <v>1</v>
      </c>
    </row>
    <row r="5" customHeight="1" spans="2:6">
      <c r="B5" s="5" t="s">
        <v>75</v>
      </c>
      <c r="C5" s="4">
        <f ca="1">DATE(YEAR(TODAY()),1,17)</f>
        <v>43482</v>
      </c>
      <c r="D5" s="4">
        <f ca="1">DATE(YEAR(TODAY()),1,18)</f>
        <v>43483</v>
      </c>
      <c r="E5" s="5" t="s">
        <v>76</v>
      </c>
      <c r="F5" s="6">
        <f ca="1">NETWORKDAYS(LeaveTracker[[#This Row],[开始日期]],LeaveTracker[[#This Row],[结束日期]],lstHolidays)</f>
        <v>2</v>
      </c>
    </row>
    <row r="6" customHeight="1" spans="2:6">
      <c r="B6" s="5" t="s">
        <v>77</v>
      </c>
      <c r="C6" s="4">
        <f ca="1">DATE(YEAR(TODAY()),1,18)</f>
        <v>43483</v>
      </c>
      <c r="D6" s="4">
        <f ca="1">DATE(YEAR(TODAY()),1,21)</f>
        <v>43486</v>
      </c>
      <c r="E6" s="5" t="s">
        <v>76</v>
      </c>
      <c r="F6" s="6">
        <f ca="1">NETWORKDAYS(LeaveTracker[[#This Row],[开始日期]],LeaveTracker[[#This Row],[结束日期]],lstHolidays)</f>
        <v>2</v>
      </c>
    </row>
    <row r="7" customHeight="1" spans="2:6">
      <c r="B7" s="5" t="s">
        <v>78</v>
      </c>
      <c r="C7" s="4">
        <f ca="1">DATE(YEAR(TODAY())-1,12,10)</f>
        <v>43444</v>
      </c>
      <c r="D7" s="4">
        <f ca="1">DATE(YEAR(TODAY())-1,12,16)</f>
        <v>43450</v>
      </c>
      <c r="E7" s="5" t="s">
        <v>79</v>
      </c>
      <c r="F7" s="6">
        <f ca="1">NETWORKDAYS(LeaveTracker[[#This Row],[开始日期]],LeaveTracker[[#This Row],[结束日期]],lstHolidays)</f>
        <v>5</v>
      </c>
    </row>
    <row r="8" customHeight="1" spans="2:6">
      <c r="B8" s="5" t="s">
        <v>80</v>
      </c>
      <c r="C8" s="4">
        <f ca="1">DATE(YEAR(TODAY())-1,12,1)</f>
        <v>43435</v>
      </c>
      <c r="D8" s="4">
        <f ca="1">DATE(YEAR(TODAY())-1,12,2)</f>
        <v>43436</v>
      </c>
      <c r="E8" s="5" t="s">
        <v>74</v>
      </c>
      <c r="F8" s="6">
        <f ca="1">NETWORKDAYS(LeaveTracker[[#This Row],[开始日期]],LeaveTracker[[#This Row],[结束日期]],lstHolidays)</f>
        <v>0</v>
      </c>
    </row>
    <row r="9" customHeight="1" spans="2:6">
      <c r="B9" s="5" t="s">
        <v>73</v>
      </c>
      <c r="C9" s="4">
        <f ca="1">DATE(YEAR(TODAY())-1,11,14)</f>
        <v>43418</v>
      </c>
      <c r="D9" s="4">
        <f ca="1">DATE(YEAR(TODAY())-1,11,18)</f>
        <v>43422</v>
      </c>
      <c r="E9" s="5" t="s">
        <v>81</v>
      </c>
      <c r="F9" s="6">
        <f ca="1">NETWORKDAYS(LeaveTracker[[#This Row],[开始日期]],LeaveTracker[[#This Row],[结束日期]],lstHolidays)</f>
        <v>3</v>
      </c>
    </row>
    <row r="10" customHeight="1" spans="2:6">
      <c r="B10" s="5" t="s">
        <v>80</v>
      </c>
      <c r="C10" s="4">
        <f ca="1">DATE(YEAR(TODAY()),1,31)</f>
        <v>43496</v>
      </c>
      <c r="D10" s="4">
        <f ca="1">DATE(YEAR(TODAY()),2,4)</f>
        <v>43500</v>
      </c>
      <c r="E10" s="5" t="s">
        <v>74</v>
      </c>
      <c r="F10" s="6">
        <f ca="1">NETWORKDAYS(LeaveTracker[[#This Row],[开始日期]],LeaveTracker[[#This Row],[结束日期]],lstHolidays)</f>
        <v>3</v>
      </c>
    </row>
    <row r="11" customHeight="1" spans="2:6">
      <c r="B11" s="5" t="s">
        <v>80</v>
      </c>
      <c r="C11" s="4">
        <f ca="1">DATE(YEAR(TODAY())-1,12,1)</f>
        <v>43435</v>
      </c>
      <c r="D11" s="4">
        <f ca="1">DATE(YEAR(TODAY())-1,12,6)</f>
        <v>43440</v>
      </c>
      <c r="E11" s="5" t="s">
        <v>76</v>
      </c>
      <c r="F11" s="6">
        <f ca="1">NETWORKDAYS(LeaveTracker[[#This Row],[开始日期]],LeaveTracker[[#This Row],[结束日期]],lstHolidays)</f>
        <v>4</v>
      </c>
    </row>
    <row r="12" customHeight="1" spans="2:6">
      <c r="B12" s="5" t="s">
        <v>80</v>
      </c>
      <c r="C12" s="4">
        <f ca="1">DATE(YEAR(TODAY())-1,12,10)</f>
        <v>43444</v>
      </c>
      <c r="D12" s="4">
        <f ca="1">DATE(YEAR(TODAY())-1,12,16)</f>
        <v>43450</v>
      </c>
      <c r="E12" s="5" t="s">
        <v>76</v>
      </c>
      <c r="F12" s="6">
        <f ca="1">NETWORKDAYS(LeaveTracker[[#This Row],[开始日期]],LeaveTracker[[#This Row],[结束日期]],lstHolidays)</f>
        <v>5</v>
      </c>
    </row>
    <row r="13" customHeight="1" spans="2:6">
      <c r="B13" s="5" t="s">
        <v>75</v>
      </c>
      <c r="C13" s="4">
        <f ca="1">DATE(YEAR(TODAY()),1,13)</f>
        <v>43478</v>
      </c>
      <c r="D13" s="4">
        <f ca="1">DATE(YEAR(TODAY()),1,15)</f>
        <v>43480</v>
      </c>
      <c r="E13" s="5" t="s">
        <v>74</v>
      </c>
      <c r="F13" s="6">
        <f ca="1">NETWORKDAYS(LeaveTracker[[#This Row],[开始日期]],LeaveTracker[[#This Row],[结束日期]],lstHolidays)</f>
        <v>2</v>
      </c>
    </row>
    <row r="14" customHeight="1" spans="2:6">
      <c r="B14" s="5" t="s">
        <v>78</v>
      </c>
      <c r="C14" s="4">
        <f ca="1">DATE(YEAR(TODAY()),1,15)</f>
        <v>43480</v>
      </c>
      <c r="D14" s="4">
        <f ca="1">DATE(YEAR(TODAY()),1,20)</f>
        <v>43485</v>
      </c>
      <c r="E14" s="5" t="s">
        <v>74</v>
      </c>
      <c r="F14" s="6">
        <f ca="1">NETWORKDAYS(LeaveTracker[[#This Row],[开始日期]],LeaveTracker[[#This Row],[结束日期]],lstHolidays)</f>
        <v>4</v>
      </c>
    </row>
    <row r="15" customHeight="1" spans="2:6">
      <c r="B15" s="5" t="s">
        <v>75</v>
      </c>
      <c r="C15" s="4">
        <f ca="1">DATE(YEAR(TODAY()),6,13)</f>
        <v>43629</v>
      </c>
      <c r="D15" s="4">
        <f ca="1">DATE(YEAR(TODAY()),6,15)</f>
        <v>43631</v>
      </c>
      <c r="E15" s="5" t="s">
        <v>79</v>
      </c>
      <c r="F15" s="6">
        <f ca="1">NETWORKDAYS(LeaveTracker[[#This Row],[开始日期]],LeaveTracker[[#This Row],[结束日期]],lstHolidays)</f>
        <v>2</v>
      </c>
    </row>
    <row r="16" customHeight="1" spans="2:6">
      <c r="B16" s="5" t="s">
        <v>78</v>
      </c>
      <c r="C16" s="4">
        <f ca="1">DATE(YEAR(TODAY()),1,27)</f>
        <v>43492</v>
      </c>
      <c r="D16" s="4">
        <f ca="1">DATE(YEAR(TODAY()),2,3)</f>
        <v>43499</v>
      </c>
      <c r="E16" s="5" t="s">
        <v>79</v>
      </c>
      <c r="F16" s="6">
        <f ca="1">NETWORKDAYS(LeaveTracker[[#This Row],[开始日期]],LeaveTracker[[#This Row],[结束日期]],lstHolidays)</f>
        <v>5</v>
      </c>
    </row>
    <row r="17" customHeight="1" spans="2:6">
      <c r="B17" s="5" t="s">
        <v>77</v>
      </c>
      <c r="C17" s="4">
        <f ca="1">DATE(YEAR(TODAY()),1,17)</f>
        <v>43482</v>
      </c>
      <c r="D17" s="4">
        <f ca="1">DATE(YEAR(TODAY()),1,18)</f>
        <v>43483</v>
      </c>
      <c r="E17" s="5" t="s">
        <v>81</v>
      </c>
      <c r="F17" s="6">
        <f ca="1">NETWORKDAYS(LeaveTracker[[#This Row],[开始日期]],LeaveTracker[[#This Row],[结束日期]],lstHolidays)</f>
        <v>2</v>
      </c>
    </row>
    <row r="18" customHeight="1" spans="2:6">
      <c r="B18" s="5" t="s">
        <v>77</v>
      </c>
      <c r="C18" s="4">
        <f ca="1">DATE(YEAR(TODAY())-1,12,12)</f>
        <v>43446</v>
      </c>
      <c r="D18" s="4">
        <f ca="1">DATE(YEAR(TODAY())-1,12,17)</f>
        <v>43451</v>
      </c>
      <c r="E18" s="5" t="s">
        <v>79</v>
      </c>
      <c r="F18" s="6">
        <f ca="1">NETWORKDAYS(LeaveTracker[[#This Row],[开始日期]],LeaveTracker[[#This Row],[结束日期]],lstHolidays)</f>
        <v>4</v>
      </c>
    </row>
    <row r="19" customHeight="1" spans="2:6">
      <c r="B19" s="5" t="s">
        <v>73</v>
      </c>
      <c r="C19" s="4">
        <f ca="1">DATE(YEAR(TODAY())-1,12,21)</f>
        <v>43455</v>
      </c>
      <c r="D19" s="4">
        <f ca="1">DATE(YEAR(TODAY())-1,12,22)</f>
        <v>43456</v>
      </c>
      <c r="E19" s="5" t="s">
        <v>76</v>
      </c>
      <c r="F19" s="6">
        <f ca="1">NETWORKDAYS(LeaveTracker[[#This Row],[开始日期]],LeaveTracker[[#This Row],[结束日期]],lstHolidays)</f>
        <v>1</v>
      </c>
    </row>
    <row r="20" customHeight="1" spans="2:6">
      <c r="B20" s="5" t="s">
        <v>73</v>
      </c>
      <c r="C20" s="4">
        <f ca="1">DATE(YEAR(TODAY())-1,12,14)</f>
        <v>43448</v>
      </c>
      <c r="D20" s="4">
        <f ca="1">DATE(YEAR(TODAY())-1,12,16)</f>
        <v>43450</v>
      </c>
      <c r="E20" s="5" t="s">
        <v>81</v>
      </c>
      <c r="F20" s="6">
        <f ca="1">NETWORKDAYS(LeaveTracker[[#This Row],[开始日期]],LeaveTracker[[#This Row],[结束日期]],lstHolidays)</f>
        <v>1</v>
      </c>
    </row>
    <row r="21" customHeight="1" spans="2:6">
      <c r="B21" s="5" t="s">
        <v>75</v>
      </c>
      <c r="C21" s="4">
        <f ca="1">DATE(YEAR(TODAY())-1,11,29)</f>
        <v>43433</v>
      </c>
      <c r="D21" s="4">
        <f ca="1">DATE(YEAR(TODAY())-1,12,6)</f>
        <v>43440</v>
      </c>
      <c r="E21" s="5" t="s">
        <v>79</v>
      </c>
      <c r="F21" s="6">
        <f ca="1">NETWORKDAYS(LeaveTracker[[#This Row],[开始日期]],LeaveTracker[[#This Row],[结束日期]],lstHolidays)</f>
        <v>6</v>
      </c>
    </row>
    <row r="22" customHeight="1" spans="2:6">
      <c r="B22" s="5" t="s">
        <v>78</v>
      </c>
      <c r="C22" s="4">
        <f ca="1">DATE(YEAR(TODAY())-1,12,3)</f>
        <v>43437</v>
      </c>
      <c r="D22" s="4">
        <f ca="1">DATE(YEAR(TODAY())-1,12,7)</f>
        <v>43441</v>
      </c>
      <c r="E22" s="5" t="s">
        <v>81</v>
      </c>
      <c r="F22" s="6">
        <f ca="1">NETWORKDAYS(LeaveTracker[[#This Row],[开始日期]],LeaveTracker[[#This Row],[结束日期]],lstHolidays)</f>
        <v>5</v>
      </c>
    </row>
    <row r="23" customHeight="1" spans="2:6">
      <c r="B23" s="5" t="s">
        <v>73</v>
      </c>
      <c r="C23" s="4">
        <f ca="1">DATE(YEAR(TODAY()),1,31)</f>
        <v>43496</v>
      </c>
      <c r="D23" s="4">
        <f ca="1">DATE(YEAR(TODAY()),2,2)</f>
        <v>43498</v>
      </c>
      <c r="E23" s="5" t="s">
        <v>79</v>
      </c>
      <c r="F23" s="6">
        <f ca="1">NETWORKDAYS(LeaveTracker[[#This Row],[开始日期]],LeaveTracker[[#This Row],[结束日期]],lstHolidays)</f>
        <v>2</v>
      </c>
    </row>
    <row r="24" customHeight="1" spans="2:6">
      <c r="B24" s="5" t="s">
        <v>73</v>
      </c>
      <c r="C24" s="4">
        <f ca="1">DATE(YEAR(TODAY())-1,11,24)</f>
        <v>43428</v>
      </c>
      <c r="D24" s="4">
        <f ca="1">DATE(YEAR(TODAY())-1,11,29)</f>
        <v>43433</v>
      </c>
      <c r="E24" s="5" t="s">
        <v>74</v>
      </c>
      <c r="F24" s="6">
        <f ca="1">NETWORKDAYS(LeaveTracker[[#This Row],[开始日期]],LeaveTracker[[#This Row],[结束日期]],lstHolidays)</f>
        <v>4</v>
      </c>
    </row>
    <row r="25" customHeight="1" spans="2:6">
      <c r="B25" s="5" t="s">
        <v>75</v>
      </c>
      <c r="C25" s="4">
        <f ca="1">DATE(YEAR(TODAY()),12,5)</f>
        <v>43804</v>
      </c>
      <c r="D25" s="4">
        <f ca="1">DATE(YEAR(TODAY()),12,9)</f>
        <v>43808</v>
      </c>
      <c r="E25" s="5" t="s">
        <v>81</v>
      </c>
      <c r="F25" s="6">
        <f ca="1">NETWORKDAYS(LeaveTracker[[#This Row],[开始日期]],LeaveTracker[[#This Row],[结束日期]],lstHolidays)</f>
        <v>3</v>
      </c>
    </row>
    <row r="26" customHeight="1" spans="2:6">
      <c r="B26" s="5" t="s">
        <v>78</v>
      </c>
      <c r="C26" s="4">
        <f ca="1">DATE(YEAR(TODAY()),4,11)</f>
        <v>43566</v>
      </c>
      <c r="D26" s="4">
        <f ca="1">DATE(YEAR(TODAY()),4,19)</f>
        <v>43574</v>
      </c>
      <c r="E26" s="5" t="s">
        <v>81</v>
      </c>
      <c r="F26" s="6">
        <f ca="1">NETWORKDAYS(LeaveTracker[[#This Row],[开始日期]],LeaveTracker[[#This Row],[结束日期]],lstHolidays)</f>
        <v>7</v>
      </c>
    </row>
  </sheetData>
  <dataValidations count="11">
    <dataValidation allowBlank="1" showInputMessage="1" showErrorMessage="1" prompt="在此工作表的表格中记录员工休假情况" sqref="A1"/>
    <dataValidation allowBlank="1" showInputMessage="1" showErrorMessage="1" prompt="在此列中输入休假开始日期&#10;" sqref="C3"/>
    <dataValidation type="list" allowBlank="1" showInputMessage="1" showErrorMessage="1" error="从列表中选择员工姓名。选择“取消”，然后按 Alt+向下键从下拉列表中选择员工姓名" sqref="B4:B26" errorStyle="warning">
      <formula1>lstEmployees</formula1>
    </dataValidation>
    <dataValidation allowBlank="1" showInputMessage="1" showErrorMessage="1" prompt="此单元格中是工作表标题" sqref="B1"/>
    <dataValidation allowBlank="1" showInputMessage="1" showErrorMessage="1" prompt="此列自动计算总天数" sqref="F3"/>
    <dataValidation allowBlank="1" showInputMessage="1" showErrorMessage="1" prompt="在此列中选择员工姓名。按 Alt+向下键打开下拉列表，然后按 Enter 选择员工姓名" sqref="B3"/>
    <dataValidation allowBlank="1" showInputMessage="1" showErrorMessage="1" prompt="下表用于在“日历视图”中自动更新员工的年度考勤记录。使用表格筛选器获取特定员工或休假类型的记录" sqref="B2"/>
    <dataValidation allowBlank="1" showInputMessage="1" showErrorMessage="1" prompt="在此列中输入休假结束日期" sqref="D3"/>
    <dataValidation allowBlank="1" showInputMessage="1" showErrorMessage="1" prompt="在此列中选择休假类型。按 Alt+向下键打开下拉列表，然后按 Enter 选择休假类型" sqref="E3"/>
    <dataValidation type="list" allowBlank="1" showInputMessage="1" showErrorMessage="1" errorTitle="未知的员工" error="请从列表中选择员工。若要修改列表，请在“设置”选项卡上，添加或删除“员工名单”表格中的员工。" sqref="B27:B740" errorStyle="information">
      <formula1>lstEmployees</formula1>
    </dataValidation>
    <dataValidation type="list" allowBlank="1" showInputMessage="1" showErrorMessage="1" error="从列表中选择休假类型。选择“取消”，然后按 Alt+向下键从下拉列表中选择休假类型" sqref="E4:E26" errorStyle="warning">
      <formula1>lstHolidayTypes</formula1>
    </dataValidation>
  </dataValidations>
  <printOptions horizontalCentered="1"/>
  <pageMargins left="0.25" right="0.25" top="0.75" bottom="0.75" header="0.3" footer="0.3"/>
  <pageSetup paperSize="9" fitToHeight="0" orientation="landscape"/>
  <headerFooter differentFirst="1">
    <oddFooter>&amp;CPage &amp;P of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2" tint="-0.499984740745262"/>
    <pageSetUpPr fitToPage="1"/>
  </sheetPr>
  <dimension ref="B1:B8"/>
  <sheetViews>
    <sheetView showGridLines="0" workbookViewId="0">
      <selection activeCell="B8" sqref="B8"/>
    </sheetView>
  </sheetViews>
  <sheetFormatPr defaultColWidth="9" defaultRowHeight="30" customHeight="1" outlineLevelRow="7" outlineLevelCol="1"/>
  <cols>
    <col min="1" max="1" width="2.77777777777778" style="1" customWidth="1"/>
    <col min="2" max="2" width="26.7777777777778" style="1" customWidth="1"/>
    <col min="3" max="3" width="3.44444444444444" style="1" customWidth="1"/>
    <col min="4" max="16384" width="8.88888888888889" style="1"/>
  </cols>
  <sheetData>
    <row r="1" ht="39.95" customHeight="1" spans="2:2">
      <c r="B1" s="2" t="s">
        <v>82</v>
      </c>
    </row>
    <row r="2" ht="15" customHeight="1"/>
    <row r="3" customHeight="1" spans="2:2">
      <c r="B3" s="3" t="s">
        <v>68</v>
      </c>
    </row>
    <row r="4" customHeight="1" spans="2:2">
      <c r="B4" s="5" t="s">
        <v>73</v>
      </c>
    </row>
    <row r="5" customHeight="1" spans="2:2">
      <c r="B5" s="5" t="s">
        <v>75</v>
      </c>
    </row>
    <row r="6" customHeight="1" spans="2:2">
      <c r="B6" s="5" t="s">
        <v>77</v>
      </c>
    </row>
    <row r="7" customHeight="1" spans="2:2">
      <c r="B7" s="5" t="s">
        <v>80</v>
      </c>
    </row>
    <row r="8" customHeight="1" spans="2:2">
      <c r="B8" s="5" t="s">
        <v>78</v>
      </c>
    </row>
  </sheetData>
  <dataValidations count="3">
    <dataValidation allowBlank="1" showInputMessage="1" showErrorMessage="1" prompt="此标题下的列中是员工姓名" sqref="B3"/>
    <dataValidation allowBlank="1" showInputMessage="1" showErrorMessage="1" prompt="在此工作表中添加员工。此表格中的条目用作“日历视图”和“员工休假跟踪表”工作表中的选项" sqref="A1"/>
    <dataValidation allowBlank="1" showInputMessage="1" showErrorMessage="1" prompt="此单元格中是工作表标题" sqref="B1"/>
  </dataValidations>
  <printOptions horizontalCentered="1"/>
  <pageMargins left="0.25" right="0.25" top="0.75" bottom="0.75" header="0.3" footer="0.3"/>
  <pageSetup paperSize="9" fitToHeight="0" orientation="landscape"/>
  <headerFooter differentFirst="1">
    <oddFooter>&amp;CPage &amp;P of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3" tint="0.399975585192419"/>
    <pageSetUpPr fitToPage="1"/>
  </sheetPr>
  <dimension ref="B1:B7"/>
  <sheetViews>
    <sheetView showGridLines="0" workbookViewId="0">
      <selection activeCell="F20" sqref="F20"/>
    </sheetView>
  </sheetViews>
  <sheetFormatPr defaultColWidth="9" defaultRowHeight="30" customHeight="1" outlineLevelRow="6" outlineLevelCol="1"/>
  <cols>
    <col min="1" max="1" width="2.77777777777778" style="1" customWidth="1"/>
    <col min="2" max="2" width="26.7777777777778" style="1" customWidth="1"/>
    <col min="3" max="3" width="3.44444444444444" style="1" customWidth="1"/>
    <col min="4" max="16384" width="8.88888888888889" style="1"/>
  </cols>
  <sheetData>
    <row r="1" ht="39.95" customHeight="1" spans="2:2">
      <c r="B1" s="2" t="s">
        <v>71</v>
      </c>
    </row>
    <row r="2" ht="15" customHeight="1"/>
    <row r="3" customHeight="1" spans="2:2">
      <c r="B3" s="3" t="s">
        <v>83</v>
      </c>
    </row>
    <row r="4" customHeight="1" spans="2:2">
      <c r="B4" s="5" t="s">
        <v>74</v>
      </c>
    </row>
    <row r="5" customHeight="1" spans="2:2">
      <c r="B5" s="5" t="s">
        <v>81</v>
      </c>
    </row>
    <row r="6" customHeight="1" spans="2:2">
      <c r="B6" s="5" t="s">
        <v>79</v>
      </c>
    </row>
    <row r="7" customHeight="1" spans="2:2">
      <c r="B7" s="5" t="s">
        <v>76</v>
      </c>
    </row>
  </sheetData>
  <dataValidations count="3">
    <dataValidation allowBlank="1" showInputMessage="1" showErrorMessage="1" prompt="在此标题下的列中输入休假类型" sqref="B3"/>
    <dataValidation allowBlank="1" showInputMessage="1" showErrorMessage="1" prompt="此单元格中是工作表标题" sqref="B1"/>
    <dataValidation allowBlank="1" showInputMessage="1" showErrorMessage="1" prompt="在此工作表的表格中输入休假类型。这些条目将用作“员工休假跟踪表”工作表中“休假跟踪表”表格的选项" sqref="A1"/>
  </dataValidations>
  <printOptions horizontalCentered="1"/>
  <pageMargins left="0.25" right="0.25" top="0.75" bottom="0.75" header="0.3" footer="0.3"/>
  <pageSetup paperSize="9" fitToHeight="0" orientation="landscape"/>
  <headerFooter differentFirst="1">
    <oddFooter>&amp;CPage &amp;P of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9"/>
    <pageSetUpPr fitToPage="1"/>
  </sheetPr>
  <dimension ref="B1:C9"/>
  <sheetViews>
    <sheetView showGridLines="0" workbookViewId="0">
      <selection activeCell="F5" sqref="F5"/>
    </sheetView>
  </sheetViews>
  <sheetFormatPr defaultColWidth="9" defaultRowHeight="30" customHeight="1" outlineLevelCol="2"/>
  <cols>
    <col min="1" max="1" width="2.77777777777778" style="1" customWidth="1"/>
    <col min="2" max="2" width="26.7777777777778" style="1" customWidth="1"/>
    <col min="3" max="3" width="25.7777777777778" style="1" customWidth="1"/>
    <col min="4" max="4" width="2.77777777777778" style="1" customWidth="1"/>
    <col min="5" max="16384" width="8.88888888888889" style="1"/>
  </cols>
  <sheetData>
    <row r="1" ht="39.95" customHeight="1" spans="2:2">
      <c r="B1" s="2" t="s">
        <v>84</v>
      </c>
    </row>
    <row r="2" ht="15" customHeight="1"/>
    <row r="3" customHeight="1" spans="2:3">
      <c r="B3" s="3" t="s">
        <v>84</v>
      </c>
      <c r="C3" s="3" t="s">
        <v>85</v>
      </c>
    </row>
    <row r="4" customHeight="1" spans="2:3">
      <c r="B4" s="4">
        <f ca="1">DATE(YEAR(TODAY()),1,1)</f>
        <v>43466</v>
      </c>
      <c r="C4" s="5" t="s">
        <v>86</v>
      </c>
    </row>
    <row r="5" customHeight="1" spans="2:3">
      <c r="B5" s="4">
        <f ca="1">DATE(YEAR(TODAY()),7,4)</f>
        <v>43650</v>
      </c>
      <c r="C5" s="5" t="s">
        <v>87</v>
      </c>
    </row>
    <row r="6" customHeight="1" spans="2:3">
      <c r="B6" s="4">
        <f ca="1">DATE(YEAR(TODAY()),11,24)</f>
        <v>43793</v>
      </c>
      <c r="C6" s="5" t="s">
        <v>88</v>
      </c>
    </row>
    <row r="7" customHeight="1" spans="2:3">
      <c r="B7" s="4">
        <f ca="1">DATE(YEAR(TODAY()),11,25)</f>
        <v>43794</v>
      </c>
      <c r="C7" s="5" t="s">
        <v>88</v>
      </c>
    </row>
    <row r="8" customHeight="1" spans="2:3">
      <c r="B8" s="4">
        <f ca="1">DATE(YEAR(TODAY()),12,24)</f>
        <v>43823</v>
      </c>
      <c r="C8" s="5" t="s">
        <v>89</v>
      </c>
    </row>
    <row r="9" customHeight="1" spans="2:3">
      <c r="B9" s="4">
        <f ca="1">DATE(YEAR(TODAY()),12,25)</f>
        <v>43824</v>
      </c>
      <c r="C9" s="5" t="s">
        <v>89</v>
      </c>
    </row>
  </sheetData>
  <dataValidations count="4">
    <dataValidation allowBlank="1" showInputMessage="1" showErrorMessage="1" prompt="在此工作表的表格中输入公司假期" sqref="A1"/>
    <dataValidation allowBlank="1" showInputMessage="1" showErrorMessage="1" prompt="此单元格中是工作表标题" sqref="B1"/>
    <dataValidation allowBlank="1" showInputMessage="1" showErrorMessage="1" prompt="在此标题下的列中输入假期日期" sqref="B3"/>
    <dataValidation allowBlank="1" showInputMessage="1" showErrorMessage="1" prompt="在此标题下的列中输入说明" sqref="C3"/>
  </dataValidations>
  <printOptions horizontalCentered="1"/>
  <pageMargins left="0.25" right="0.25" top="0.75" bottom="0.75" header="0.3" footer="0.3"/>
  <pageSetup paperSize="9" fitToHeight="0" orientation="landscape"/>
  <headerFooter differentFirst="1">
    <oddFooter>&amp;CPage &amp;P of &amp;N</oddFooter>
  </headerFooter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日历视图</vt:lpstr>
      <vt:lpstr>员工休假跟踪表</vt:lpstr>
      <vt:lpstr>员工名单</vt:lpstr>
      <vt:lpstr>休假类型</vt:lpstr>
      <vt:lpstr>公司假期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2016-12-03T09:43:00Z</dcterms:created>
  <dcterms:modified xsi:type="dcterms:W3CDTF">2019-04-25T13:36:19Z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</Properties>
</file>